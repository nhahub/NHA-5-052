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s" sheetId="2" state="visible" r:id="rId4"/>
    <sheet name="OLTP_MySQL" sheetId="3" state="visible" r:id="rId5"/>
    <sheet name="NoSQL_MongoDB" sheetId="4" state="visible" r:id="rId6"/>
    <sheet name="Star_Schema" sheetId="5" state="visible" r:id="rId7"/>
    <sheet name="fact_sales" sheetId="6" state="visible" r:id="rId8"/>
    <sheet name="dim_customer" sheetId="7" state="visible" r:id="rId9"/>
    <sheet name="dim_product" sheetId="8" state="visible" r:id="rId10"/>
    <sheet name="dim_date" sheetId="9" state="visible" r:id="rId11"/>
    <sheet name="Value_Domains" sheetId="10" state="visible" r:id="rId12"/>
  </sheets>
  <definedNames>
    <definedName function="false" hidden="false" localSheetId="6" name="_xlnm.Print_Titles" vbProcedure="false">dim_customer!$4:$4</definedName>
    <definedName function="false" hidden="true" localSheetId="6" name="_xlnm._FilterDatabase" vbProcedure="false">dim_customer!$A$4:$I$12</definedName>
    <definedName function="false" hidden="false" localSheetId="8" name="_xlnm.Print_Titles" vbProcedure="false">dim_date!$4:$4</definedName>
    <definedName function="false" hidden="true" localSheetId="8" name="_xlnm._FilterDatabase" vbProcedure="false">dim_date!$A$4:$I$17</definedName>
    <definedName function="false" hidden="false" localSheetId="7" name="_xlnm.Print_Titles" vbProcedure="false">dim_product!$4:$4</definedName>
    <definedName function="false" hidden="true" localSheetId="7" name="_xlnm._FilterDatabase" vbProcedure="false">dim_product!$A$4:$I$27</definedName>
    <definedName function="false" hidden="false" localSheetId="5" name="_xlnm.Print_Titles" vbProcedure="false">fact_sales!$4:$4</definedName>
    <definedName function="false" hidden="true" localSheetId="5" name="_xlnm._FilterDatabase" vbProcedure="false">fact_sales!$A$4:$I$23</definedName>
    <definedName function="false" hidden="false" localSheetId="3" name="_xlnm.Print_Titles" vbProcedure="false">NoSQL_MongoDB!$4:$4</definedName>
    <definedName function="false" hidden="true" localSheetId="3" name="_xlnm._FilterDatabase" vbProcedure="false">NoSQL_MongoDB!$A$4:$I$19</definedName>
    <definedName function="false" hidden="false" localSheetId="2" name="_xlnm.Print_Titles" vbProcedure="false">OLTP_MySQL!$4:$4</definedName>
    <definedName function="false" hidden="true" localSheetId="2" name="_xlnm._FilterDatabase" vbProcedure="false">OLTP_MySQL!$A$4:$J$52</definedName>
    <definedName function="false" hidden="false" localSheetId="9" name="_xlnm.Print_Titles" vbProcedure="false">Value_Domains!$4:$4</definedName>
    <definedName function="false" hidden="true" localSheetId="9" name="_xlnm._FilterDatabase" vbProcedure="false">Value_Domains!$A$4:$D$55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<sst xmlns="http://schemas.openxmlformats.org/spreadsheetml/2006/main" count="1426" uniqueCount="808">
  <si>
    <t xml:space="preserve">E-Commerce Data Integration &amp; Analytics Pipeline - Data Dictionary</t>
  </si>
  <si>
    <t xml:space="preserve">DEPI Data Engineering track - graduation project</t>
  </si>
  <si>
    <t xml:space="preserve">Version</t>
  </si>
  <si>
    <t xml:space="preserve">3.0</t>
  </si>
  <si>
    <t xml:space="preserve">Date</t>
  </si>
  <si>
    <t xml:space="preserve">2026-10-18</t>
  </si>
  <si>
    <t xml:space="preserve">Prepared by</t>
  </si>
  <si>
    <t xml:space="preserve">Mahmoud Dahroug (Team Leader)</t>
  </si>
  <si>
    <t xml:space="preserve">Team</t>
  </si>
  <si>
    <t xml:space="preserve">Mahmoud Dahroug, Aya Elgarwany, Hussein Saeed, Nouran Elshwehy, Islam Hassan</t>
  </si>
  <si>
    <t xml:space="preserve">Databases</t>
  </si>
  <si>
    <t xml:space="preserve">MySQL (OLTP), MongoDB (catalogue), PostgreSQL (data warehouse); Apache Airflow on Docker Compose</t>
  </si>
  <si>
    <t xml:space="preserve">Purpose</t>
  </si>
  <si>
    <t xml:space="preserve">Single reference for every column in the three storage layers: meaning, type, keys, allowed values, lineage and transformation rules.</t>
  </si>
  <si>
    <t xml:space="preserve">Data flow</t>
  </si>
  <si>
    <t xml:space="preserve">1. Olist CSV files -&gt; monthly batches -&gt; MySQL ecommerce_oltp (Module 01).</t>
  </si>
  <si>
    <t xml:space="preserve">2. The Conran Shop collection pages -&gt; scraper -&gt; MongoDB catalog.products (Module 02).</t>
  </si>
  <si>
    <t xml:space="preserve">3. Python ETL run by Airflow: new orders from MySQL and the latest catalogue from MongoDB -&gt; validate -&gt; transform (Module 05).</t>
  </si>
  <si>
    <t xml:space="preserve">4. Load into PostgreSQL: dim_date -&gt; dim_customer -&gt; dim_product -&gt; fact_sales (Module 03).</t>
  </si>
  <si>
    <t xml:space="preserve">5. SQL analytics and Power BI dashboard on the warehouse (Module 04).</t>
  </si>
  <si>
    <t xml:space="preserve">Sheet index</t>
  </si>
  <si>
    <t xml:space="preserve">Sheet</t>
  </si>
  <si>
    <t xml:space="preserve">Contents</t>
  </si>
  <si>
    <t xml:space="preserve">Rows documented</t>
  </si>
  <si>
    <t xml:space="preserve">Sources</t>
  </si>
  <si>
    <t xml:space="preserve">The 2 sources and where they land</t>
  </si>
  <si>
    <t xml:space="preserve">OLTP_MySQL</t>
  </si>
  <si>
    <t xml:space="preserve">Columns of the 8 MySQL tables</t>
  </si>
  <si>
    <t xml:space="preserve">NoSQL_MongoDB</t>
  </si>
  <si>
    <t xml:space="preserve">Fields of the catalogue documents</t>
  </si>
  <si>
    <t xml:space="preserve">Star_Schema</t>
  </si>
  <si>
    <t xml:space="preserve">Tables, grain, keys, load order, relationships, reports</t>
  </si>
  <si>
    <t xml:space="preserve">fact_sales</t>
  </si>
  <si>
    <t xml:space="preserve">Columns of the fact table with lineage</t>
  </si>
  <si>
    <t xml:space="preserve">dim_customer</t>
  </si>
  <si>
    <t xml:space="preserve">Columns of the customer dimension</t>
  </si>
  <si>
    <t xml:space="preserve">dim_product</t>
  </si>
  <si>
    <t xml:space="preserve">Columns of the product dimension</t>
  </si>
  <si>
    <t xml:space="preserve">dim_date</t>
  </si>
  <si>
    <t xml:space="preserve">Columns of the date dimension</t>
  </si>
  <si>
    <t xml:space="preserve">Value_Domains</t>
  </si>
  <si>
    <t xml:space="preserve">Allowed values</t>
  </si>
  <si>
    <t xml:space="preserve">Source-layer columns (MySQL + MongoDB)</t>
  </si>
  <si>
    <t xml:space="preserve">Warehouse columns (PostgreSQL)</t>
  </si>
  <si>
    <t xml:space="preserve">Legend</t>
  </si>
  <si>
    <t xml:space="preserve">PK / UK / FK &gt; x</t>
  </si>
  <si>
    <t xml:space="preserve">Primary key / unique key / foreign key referring to table x</t>
  </si>
  <si>
    <t xml:space="preserve">Null? / Required?</t>
  </si>
  <si>
    <t xml:space="preserve">Y = value can be empty / must be present</t>
  </si>
  <si>
    <t xml:space="preserve">Green status</t>
  </si>
  <si>
    <t xml:space="preserve">Verified (row counts checked, or seen on the website)</t>
  </si>
  <si>
    <t xml:space="preserve">Orange status</t>
  </si>
  <si>
    <t xml:space="preserve">Published schema or planned field - confirm</t>
  </si>
  <si>
    <t xml:space="preserve">Yellow key cell</t>
  </si>
  <si>
    <t xml:space="preserve">Key column</t>
  </si>
  <si>
    <t xml:space="preserve">Naming</t>
  </si>
  <si>
    <t xml:space="preserve">snake_case; _key = surrogate key, _id = source identifier, _ts = timestamp, _brl / _kwd = currency of the amount</t>
  </si>
  <si>
    <t xml:space="preserve">Points to confirm</t>
  </si>
  <si>
    <t xml:space="preserve">1. Olist column names: compare with the headers of the downloaded files (row counts are already confirmed).</t>
  </si>
  <si>
    <t xml:space="preserve">2. MongoDB fields: confirm each field and the stock texts after the first Conran scrape (T1.5).</t>
  </si>
  <si>
    <t xml:space="preserve">3. Amounts are kept in their source currency (BRL for sales, KWD for the catalogue); there is no currency conversion.</t>
  </si>
  <si>
    <t xml:space="preserve">Data Sources</t>
  </si>
  <si>
    <t xml:space="preserve">Two sources feed the platform: Olist files into MySQL (Module 01) and The Conran Shop website into MongoDB (Module 02).</t>
  </si>
  <si>
    <t xml:space="preserve">ID</t>
  </si>
  <si>
    <t xml:space="preserve">Source</t>
  </si>
  <si>
    <t xml:space="preserve">Type</t>
  </si>
  <si>
    <t xml:space="preserve">Access method</t>
  </si>
  <si>
    <t xml:space="preserve">Lands in (module)</t>
  </si>
  <si>
    <t xml:space="preserve">Script / owner</t>
  </si>
  <si>
    <t xml:space="preserve">Refresh</t>
  </si>
  <si>
    <t xml:space="preserve">Size</t>
  </si>
  <si>
    <t xml:space="preserve">Period</t>
  </si>
  <si>
    <t xml:space="preserve">Status</t>
  </si>
  <si>
    <t xml:space="preserve">S1</t>
  </si>
  <si>
    <t xml:space="preserve">Olist Brazilian E-Commerce dataset (Kaggle: olistbr/brazilian-ecommerce)</t>
  </si>
  <si>
    <t xml:space="preserve">CSV files</t>
  </si>
  <si>
    <t xml:space="preserve">Downloaded with kagglehub; orders, order items and reviews split into monthly batches by purchase month (CSV and JSON)</t>
  </si>
  <si>
    <t xml:space="preserve">01 OLTP - MySQL database ecommerce_oltp</t>
  </si>
  <si>
    <t xml:space="preserve">extract_olist.py (Eng. Aya); load scripts (Eng. Hussein)</t>
  </si>
  <si>
    <t xml:space="preserve">One monthly batch per load, to simulate new sales</t>
  </si>
  <si>
    <t xml:space="preserve">99,441 orders; 112,650 order items; 99,224 reviews (25 months with orders)</t>
  </si>
  <si>
    <t xml:space="preserve">Sep-2016 to Oct-2018 (purchase dates; 2016-11 has no orders)</t>
  </si>
  <si>
    <t xml:space="preserve">Verified - row counts checked by Eng. Aya</t>
  </si>
  <si>
    <t xml:space="preserve">S2</t>
  </si>
  <si>
    <t xml:space="preserve">The Conran Shop Kuwait - product catalogue (www.theconranshop.com.kw)</t>
  </si>
  <si>
    <t xml:space="preserve">Web scraping</t>
  </si>
  <si>
    <t xml:space="preserve">requests + BeautifulSoup on collection pages (/collections/&lt;name&gt;?page=N); one request per second; clear User-Agent; no /search or sort/filter URLs (blocked in robots.txt)</t>
  </si>
  <si>
    <t xml:space="preserve">02 NoSQL - MongoDB collection catalog.products</t>
  </si>
  <si>
    <t xml:space="preserve">Conran scraper (Eng. Aya)</t>
  </si>
  <si>
    <t xml:space="preserve">Daily snapshot (Airflow)</t>
  </si>
  <si>
    <t xml:space="preserve">1,898 products listed on 16-Oct-2026 (about 75 brands, 95 product types)</t>
  </si>
  <si>
    <t xml:space="preserve">Snapshot date of each run</t>
  </si>
  <si>
    <t xml:space="preserve">Planned - confirm after first scrape</t>
  </si>
  <si>
    <t xml:space="preserve">Module 01 - OLTP database: MySQL ecommerce_oltp</t>
  </si>
  <si>
    <t xml:space="preserve">8 tables loaded from the Olist files. Key: PK = primary key, FK &gt; = refers to, INDEX = secondary index.</t>
  </si>
  <si>
    <t xml:space="preserve">Table</t>
  </si>
  <si>
    <t xml:space="preserve">#</t>
  </si>
  <si>
    <t xml:space="preserve">Column</t>
  </si>
  <si>
    <t xml:space="preserve">MySQL type</t>
  </si>
  <si>
    <t xml:space="preserve">Key</t>
  </si>
  <si>
    <t xml:space="preserve">Null?</t>
  </si>
  <si>
    <t xml:space="preserve">Description</t>
  </si>
  <si>
    <t xml:space="preserve">Source (file.column)</t>
  </si>
  <si>
    <t xml:space="preserve">Load rule</t>
  </si>
  <si>
    <t xml:space="preserve">Goes to (PostgreSQL)</t>
  </si>
  <si>
    <t xml:space="preserve">customers</t>
  </si>
  <si>
    <t xml:space="preserve">customer_id</t>
  </si>
  <si>
    <t xml:space="preserve">VARCHAR(32)</t>
  </si>
  <si>
    <t xml:space="preserve">PK</t>
  </si>
  <si>
    <t xml:space="preserve">N</t>
  </si>
  <si>
    <t xml:space="preserve">Customer key used by orders (a new one for every order).</t>
  </si>
  <si>
    <t xml:space="preserve">olist_customers_dataset.csv.customer_id</t>
  </si>
  <si>
    <t xml:space="preserve">Copy as is</t>
  </si>
  <si>
    <t xml:space="preserve">dim_customer.customer_id</t>
  </si>
  <si>
    <t xml:space="preserve">customer_unique_id</t>
  </si>
  <si>
    <t xml:space="preserve">The real person across all orders.</t>
  </si>
  <si>
    <t xml:space="preserve">olist_customers_dataset.csv.customer_unique_id</t>
  </si>
  <si>
    <t xml:space="preserve">dim_customer.customer_unique_id</t>
  </si>
  <si>
    <t xml:space="preserve">customer_zip_code_prefix</t>
  </si>
  <si>
    <t xml:space="preserve">CHAR(5)</t>
  </si>
  <si>
    <t xml:space="preserve">First 5 digits of the zip code.</t>
  </si>
  <si>
    <t xml:space="preserve">olist_customers_dataset.csv.customer_zip_code_prefix</t>
  </si>
  <si>
    <t xml:space="preserve">Read as text; left-pad with zeros to 5 digits</t>
  </si>
  <si>
    <t xml:space="preserve">dim_customer.zip_code_prefix</t>
  </si>
  <si>
    <t xml:space="preserve">customer_city</t>
  </si>
  <si>
    <t xml:space="preserve">VARCHAR(100)</t>
  </si>
  <si>
    <t xml:space="preserve">City name (lower case).</t>
  </si>
  <si>
    <t xml:space="preserve">olist_customers_dataset.csv.customer_city</t>
  </si>
  <si>
    <t xml:space="preserve">Trim</t>
  </si>
  <si>
    <t xml:space="preserve">dim_customer.city</t>
  </si>
  <si>
    <t xml:space="preserve">customer_state</t>
  </si>
  <si>
    <t xml:space="preserve">CHAR(2)</t>
  </si>
  <si>
    <t xml:space="preserve">Brazilian state code.</t>
  </si>
  <si>
    <t xml:space="preserve">olist_customers_dataset.csv.customer_state</t>
  </si>
  <si>
    <t xml:space="preserve">Trim; upper case</t>
  </si>
  <si>
    <t xml:space="preserve">dim_customer.state</t>
  </si>
  <si>
    <t xml:space="preserve">sellers</t>
  </si>
  <si>
    <t xml:space="preserve">seller_id</t>
  </si>
  <si>
    <t xml:space="preserve">Seller identifier.</t>
  </si>
  <si>
    <t xml:space="preserve">olist_sellers_dataset.csv.seller_id</t>
  </si>
  <si>
    <t xml:space="preserve">fact_sales.seller_id</t>
  </si>
  <si>
    <t xml:space="preserve">seller_zip_code_prefix</t>
  </si>
  <si>
    <t xml:space="preserve">First 5 digits of the seller zip code.</t>
  </si>
  <si>
    <t xml:space="preserve">olist_sellers_dataset.csv.seller_zip_code_prefix</t>
  </si>
  <si>
    <t xml:space="preserve">Read as text; left-pad to 5 digits</t>
  </si>
  <si>
    <t xml:space="preserve">Not loaded</t>
  </si>
  <si>
    <t xml:space="preserve">seller_city</t>
  </si>
  <si>
    <t xml:space="preserve">Seller city.</t>
  </si>
  <si>
    <t xml:space="preserve">olist_sellers_dataset.csv.seller_city</t>
  </si>
  <si>
    <t xml:space="preserve">seller_state</t>
  </si>
  <si>
    <t xml:space="preserve">Seller state code.</t>
  </si>
  <si>
    <t xml:space="preserve">olist_sellers_dataset.csv.seller_state</t>
  </si>
  <si>
    <t xml:space="preserve">category_translation</t>
  </si>
  <si>
    <t xml:space="preserve">product_category_name</t>
  </si>
  <si>
    <t xml:space="preserve">VARCHAR(60)</t>
  </si>
  <si>
    <t xml:space="preserve">Category name in Portuguese.</t>
  </si>
  <si>
    <t xml:space="preserve">product_category_name_translation.csv.product_category_name</t>
  </si>
  <si>
    <t xml:space="preserve">Read with encoding utf-8-sig (the header can start with a BOM)</t>
  </si>
  <si>
    <t xml:space="preserve">Lookup for dim_product.category_en</t>
  </si>
  <si>
    <t xml:space="preserve">product_category_name_english</t>
  </si>
  <si>
    <t xml:space="preserve">Category name in English.</t>
  </si>
  <si>
    <t xml:space="preserve">product_category_name_translation.csv.product_category_name_english</t>
  </si>
  <si>
    <t xml:space="preserve">dim_product.category_en</t>
  </si>
  <si>
    <t xml:space="preserve">products</t>
  </si>
  <si>
    <t xml:space="preserve">product_id</t>
  </si>
  <si>
    <t xml:space="preserve">Product identifier.</t>
  </si>
  <si>
    <t xml:space="preserve">olist_products_dataset.csv.product_id</t>
  </si>
  <si>
    <t xml:space="preserve">dim_product.product_id</t>
  </si>
  <si>
    <t xml:space="preserve">Y</t>
  </si>
  <si>
    <t xml:space="preserve">Category in Portuguese (no foreign key: some categories have no translation row).</t>
  </si>
  <si>
    <t xml:space="preserve">olist_products_dataset.csv.product_category_name</t>
  </si>
  <si>
    <t xml:space="preserve">Empty -&gt; NULL</t>
  </si>
  <si>
    <t xml:space="preserve">dim_product.category_pt</t>
  </si>
  <si>
    <t xml:space="preserve">product_name_lenght</t>
  </si>
  <si>
    <t xml:space="preserve">SMALLINT</t>
  </si>
  <si>
    <t xml:space="preserve">Number of characters in the product name (original spelling 'lenght').</t>
  </si>
  <si>
    <t xml:space="preserve">olist_products_dataset.csv.product_name_lenght</t>
  </si>
  <si>
    <t xml:space="preserve">Cast to integer</t>
  </si>
  <si>
    <t xml:space="preserve">product_description_lenght</t>
  </si>
  <si>
    <t xml:space="preserve">Number of characters in the description (original spelling).</t>
  </si>
  <si>
    <t xml:space="preserve">olist_products_dataset.csv.product_description_lenght</t>
  </si>
  <si>
    <t xml:space="preserve">product_photos_qty</t>
  </si>
  <si>
    <t xml:space="preserve">Number of product photos.</t>
  </si>
  <si>
    <t xml:space="preserve">olist_products_dataset.csv.product_photos_qty</t>
  </si>
  <si>
    <t xml:space="preserve">dim_product.photos_qty</t>
  </si>
  <si>
    <t xml:space="preserve">product_weight_g</t>
  </si>
  <si>
    <t xml:space="preserve">INT</t>
  </si>
  <si>
    <t xml:space="preserve">Weight in grams.</t>
  </si>
  <si>
    <t xml:space="preserve">olist_products_dataset.csv.product_weight_g</t>
  </si>
  <si>
    <t xml:space="preserve">dim_product.weight_g</t>
  </si>
  <si>
    <t xml:space="preserve">product_length_cm</t>
  </si>
  <si>
    <t xml:space="preserve">Length in cm.</t>
  </si>
  <si>
    <t xml:space="preserve">olist_products_dataset.csv.product_length_cm</t>
  </si>
  <si>
    <t xml:space="preserve">dim_product.length_cm</t>
  </si>
  <si>
    <t xml:space="preserve">product_height_cm</t>
  </si>
  <si>
    <t xml:space="preserve">Height in cm.</t>
  </si>
  <si>
    <t xml:space="preserve">olist_products_dataset.csv.product_height_cm</t>
  </si>
  <si>
    <t xml:space="preserve">dim_product.height_cm</t>
  </si>
  <si>
    <t xml:space="preserve">product_width_cm</t>
  </si>
  <si>
    <t xml:space="preserve">Width in cm.</t>
  </si>
  <si>
    <t xml:space="preserve">olist_products_dataset.csv.product_width_cm</t>
  </si>
  <si>
    <t xml:space="preserve">dim_product.width_cm</t>
  </si>
  <si>
    <t xml:space="preserve">orders</t>
  </si>
  <si>
    <t xml:space="preserve">order_id</t>
  </si>
  <si>
    <t xml:space="preserve">Order identifier.</t>
  </si>
  <si>
    <t xml:space="preserve">orders_YYYY-MM batch.order_id</t>
  </si>
  <si>
    <t xml:space="preserve">fact_sales.order_id</t>
  </si>
  <si>
    <t xml:space="preserve">FK &gt; customers</t>
  </si>
  <si>
    <t xml:space="preserve">Customer of the order.</t>
  </si>
  <si>
    <t xml:space="preserve">orders_YYYY-MM batch.customer_id</t>
  </si>
  <si>
    <t xml:space="preserve">Must exist in customers</t>
  </si>
  <si>
    <t xml:space="preserve">fact_sales.customer_key (lookup)</t>
  </si>
  <si>
    <t xml:space="preserve">order_status</t>
  </si>
  <si>
    <t xml:space="preserve">VARCHAR(20)</t>
  </si>
  <si>
    <t xml:space="preserve">Order status.</t>
  </si>
  <si>
    <t xml:space="preserve">orders_YYYY-MM batch.order_status</t>
  </si>
  <si>
    <t xml:space="preserve">One of the 8 known values</t>
  </si>
  <si>
    <t xml:space="preserve">fact_sales.order_status</t>
  </si>
  <si>
    <t xml:space="preserve">order_purchase_timestamp</t>
  </si>
  <si>
    <t xml:space="preserve">DATETIME</t>
  </si>
  <si>
    <t xml:space="preserve">INDEX</t>
  </si>
  <si>
    <t xml:space="preserve">Purchase date and time; also the incremental-load marker.</t>
  </si>
  <si>
    <t xml:space="preserve">orders_YYYY-MM batch.order_purchase_timestamp</t>
  </si>
  <si>
    <t xml:space="preserve">Parse YYYY-MM-DD HH:MM:SS (local Brazil time, no time zone)</t>
  </si>
  <si>
    <t xml:space="preserve">fact_sales.order_purchase_ts, date_key, batch_id</t>
  </si>
  <si>
    <t xml:space="preserve">order_approved_at</t>
  </si>
  <si>
    <t xml:space="preserve">Payment approval time.</t>
  </si>
  <si>
    <t xml:space="preserve">orders_YYYY-MM batch.order_approved_at</t>
  </si>
  <si>
    <t xml:space="preserve">order_delivered_carrier_date</t>
  </si>
  <si>
    <t xml:space="preserve">Hand-over to the carrier.</t>
  </si>
  <si>
    <t xml:space="preserve">orders_YYYY-MM batch.order_delivered_carrier_date</t>
  </si>
  <si>
    <t xml:space="preserve">order_delivered_customer_date</t>
  </si>
  <si>
    <t xml:space="preserve">Delivery to the customer.</t>
  </si>
  <si>
    <t xml:space="preserve">orders_YYYY-MM batch.order_delivered_customer_date</t>
  </si>
  <si>
    <t xml:space="preserve">fact_sales.delivered_customer_ts, delivery_days, is_late</t>
  </si>
  <si>
    <t xml:space="preserve">order_estimated_delivery_date</t>
  </si>
  <si>
    <t xml:space="preserve">Promised delivery date.</t>
  </si>
  <si>
    <t xml:space="preserve">orders_YYYY-MM batch.order_estimated_delivery_date</t>
  </si>
  <si>
    <t xml:space="preserve">Parse</t>
  </si>
  <si>
    <t xml:space="preserve">fact_sales.estimated_delivery_date, is_late</t>
  </si>
  <si>
    <t xml:space="preserve">loaded_at</t>
  </si>
  <si>
    <t xml:space="preserve">TIMESTAMP</t>
  </si>
  <si>
    <t xml:space="preserve">When the row was inserted into MySQL (audit).</t>
  </si>
  <si>
    <t xml:space="preserve">Pipeline</t>
  </si>
  <si>
    <t xml:space="preserve">DEFAULT CURRENT_TIMESTAMP</t>
  </si>
  <si>
    <t xml:space="preserve">order_items</t>
  </si>
  <si>
    <t xml:space="preserve">PK (part 1), FK &gt; orders</t>
  </si>
  <si>
    <t xml:space="preserve">Order of the item.</t>
  </si>
  <si>
    <t xml:space="preserve">order_items_YYYY-MM batch.order_id</t>
  </si>
  <si>
    <t xml:space="preserve">Must exist in orders (load orders first)</t>
  </si>
  <si>
    <t xml:space="preserve">order_item_id</t>
  </si>
  <si>
    <t xml:space="preserve">PK (part 2)</t>
  </si>
  <si>
    <t xml:space="preserve">Item number inside the order; no quantity column (2 units = 2 rows).</t>
  </si>
  <si>
    <t xml:space="preserve">order_items_YYYY-MM batch.order_item_id</t>
  </si>
  <si>
    <t xml:space="preserve">Integer &gt;= 1</t>
  </si>
  <si>
    <t xml:space="preserve">fact_sales.order_item_id</t>
  </si>
  <si>
    <t xml:space="preserve">FK &gt; products</t>
  </si>
  <si>
    <t xml:space="preserve">Product sold.</t>
  </si>
  <si>
    <t xml:space="preserve">order_items_YYYY-MM batch.product_id</t>
  </si>
  <si>
    <t xml:space="preserve">Must exist in products</t>
  </si>
  <si>
    <t xml:space="preserve">fact_sales.product_key (lookup)</t>
  </si>
  <si>
    <t xml:space="preserve">FK &gt; sellers</t>
  </si>
  <si>
    <t xml:space="preserve">Seller of the item.</t>
  </si>
  <si>
    <t xml:space="preserve">order_items_YYYY-MM batch.seller_id</t>
  </si>
  <si>
    <t xml:space="preserve">Must exist in sellers</t>
  </si>
  <si>
    <t xml:space="preserve">shipping_limit_date</t>
  </si>
  <si>
    <t xml:space="preserve">Seller hand-over deadline.</t>
  </si>
  <si>
    <t xml:space="preserve">order_items_YYYY-MM batch.shipping_limit_date</t>
  </si>
  <si>
    <t xml:space="preserve">price</t>
  </si>
  <si>
    <t xml:space="preserve">DECIMAL(10,2)</t>
  </si>
  <si>
    <t xml:space="preserve">Item price in BRL.</t>
  </si>
  <si>
    <t xml:space="preserve">order_items_YYYY-MM batch.price</t>
  </si>
  <si>
    <t xml:space="preserve">&gt; 0</t>
  </si>
  <si>
    <t xml:space="preserve">fact_sales.price_brl</t>
  </si>
  <si>
    <t xml:space="preserve">freight_value</t>
  </si>
  <si>
    <t xml:space="preserve">Item freight in BRL.</t>
  </si>
  <si>
    <t xml:space="preserve">order_items_YYYY-MM batch.freight_value</t>
  </si>
  <si>
    <t xml:space="preserve">&gt;= 0</t>
  </si>
  <si>
    <t xml:space="preserve">fact_sales.freight_brl</t>
  </si>
  <si>
    <t xml:space="preserve">order_payments</t>
  </si>
  <si>
    <t xml:space="preserve">Order that was paid.</t>
  </si>
  <si>
    <t xml:space="preserve">olist_order_payments_dataset.csv.order_id</t>
  </si>
  <si>
    <t xml:space="preserve">Must exist in orders; load with the order's batch</t>
  </si>
  <si>
    <t xml:space="preserve">payment_sequential</t>
  </si>
  <si>
    <t xml:space="preserve">Sequence of the payment method within the order.</t>
  </si>
  <si>
    <t xml:space="preserve">olist_order_payments_dataset.csv.payment_sequential</t>
  </si>
  <si>
    <t xml:space="preserve">payment_type</t>
  </si>
  <si>
    <t xml:space="preserve">Payment method.</t>
  </si>
  <si>
    <t xml:space="preserve">olist_order_payments_dataset.csv.payment_type</t>
  </si>
  <si>
    <t xml:space="preserve">One of the 5 known values</t>
  </si>
  <si>
    <t xml:space="preserve">payment_installments</t>
  </si>
  <si>
    <t xml:space="preserve">Number of instalments.</t>
  </si>
  <si>
    <t xml:space="preserve">olist_order_payments_dataset.csv.payment_installments</t>
  </si>
  <si>
    <t xml:space="preserve">Integer &gt;= 0</t>
  </si>
  <si>
    <t xml:space="preserve">payment_value</t>
  </si>
  <si>
    <t xml:space="preserve">Amount paid with this method, in BRL.</t>
  </si>
  <si>
    <t xml:space="preserve">olist_order_payments_dataset.csv.payment_value</t>
  </si>
  <si>
    <t xml:space="preserve">Not loaded (cross-check of order totals)</t>
  </si>
  <si>
    <t xml:space="preserve">order_reviews</t>
  </si>
  <si>
    <t xml:space="preserve">review_id</t>
  </si>
  <si>
    <t xml:space="preserve">PK (part 1)</t>
  </si>
  <si>
    <t xml:space="preserve">Review identifier (can repeat across orders).</t>
  </si>
  <si>
    <t xml:space="preserve">order_reviews_YYYY-MM batch.review_id</t>
  </si>
  <si>
    <t xml:space="preserve">PK (part 2), FK &gt; orders</t>
  </si>
  <si>
    <t xml:space="preserve">Reviewed order.</t>
  </si>
  <si>
    <t xml:space="preserve">order_reviews_YYYY-MM batch.order_id</t>
  </si>
  <si>
    <t xml:space="preserve">Must exist in orders</t>
  </si>
  <si>
    <t xml:space="preserve">Join key for fact_sales.review_score</t>
  </si>
  <si>
    <t xml:space="preserve">review_score</t>
  </si>
  <si>
    <t xml:space="preserve">TINYINT</t>
  </si>
  <si>
    <t xml:space="preserve">Score 1 (worst) to 5 (best).</t>
  </si>
  <si>
    <t xml:space="preserve">order_reviews_YYYY-MM batch.review_score</t>
  </si>
  <si>
    <t xml:space="preserve">Integer 1 to 5</t>
  </si>
  <si>
    <t xml:space="preserve">fact_sales.review_score</t>
  </si>
  <si>
    <t xml:space="preserve">review_comment_title</t>
  </si>
  <si>
    <t xml:space="preserve">Comment title (Portuguese; often empty).</t>
  </si>
  <si>
    <t xml:space="preserve">order_reviews_YYYY-MM batch.review_comment_title</t>
  </si>
  <si>
    <t xml:space="preserve">review_comment_message</t>
  </si>
  <si>
    <t xml:space="preserve">TEXT</t>
  </si>
  <si>
    <t xml:space="preserve">Comment text (Portuguese; often empty).</t>
  </si>
  <si>
    <t xml:space="preserve">order_reviews_YYYY-MM batch.review_comment_message</t>
  </si>
  <si>
    <t xml:space="preserve">review_creation_date</t>
  </si>
  <si>
    <t xml:space="preserve">Date the survey was sent.</t>
  </si>
  <si>
    <t xml:space="preserve">order_reviews_YYYY-MM batch.review_creation_date</t>
  </si>
  <si>
    <t xml:space="preserve">review_answer_timestamp</t>
  </si>
  <si>
    <t xml:space="preserve">Date and time the survey was answered.</t>
  </si>
  <si>
    <t xml:space="preserve">order_reviews_YYYY-MM batch.review_answer_timestamp</t>
  </si>
  <si>
    <t xml:space="preserve">Picks the latest review per order</t>
  </si>
  <si>
    <t xml:space="preserve">Notes</t>
  </si>
  <si>
    <t xml:space="preserve">1. Database name: ecommerce_oltp; character set utf8mb4. Load order: category_translation, customers, sellers, products (full files once), then each monthly batch: orders, order_items, order_payments, order_reviews.</t>
  </si>
  <si>
    <t xml:space="preserve">2. order_payments is not split by month in the extract; load the payment rows whose order_id belongs to the batch being loaded.</t>
  </si>
  <si>
    <t xml:space="preserve">3. olist_geolocation_dataset.csv (about 1 million rows) is not loaded: no report needs coordinates.</t>
  </si>
  <si>
    <t xml:space="preserve">4. Column names follow the published Kaggle dataset (including 'lenght'); confirm them against the downloaded headers.</t>
  </si>
  <si>
    <t xml:space="preserve">Module 02 - NoSQL catalogue: MongoDB catalog.products</t>
  </si>
  <si>
    <t xml:space="preserve">One document per product per scrape date, from The Conran Shop collection pages. Status: Planned - confirm after first scrape.</t>
  </si>
  <si>
    <t xml:space="preserve">Field</t>
  </si>
  <si>
    <t xml:space="preserve">BSON type</t>
  </si>
  <si>
    <t xml:space="preserve">Key / index</t>
  </si>
  <si>
    <t xml:space="preserve">Required?</t>
  </si>
  <si>
    <t xml:space="preserve">Example</t>
  </si>
  <si>
    <t xml:space="preserve">Scrape / parse rule</t>
  </si>
  <si>
    <t xml:space="preserve">_id</t>
  </si>
  <si>
    <t xml:space="preserve">ObjectId</t>
  </si>
  <si>
    <t xml:space="preserve">PK (automatic)</t>
  </si>
  <si>
    <t xml:space="preserve">Document id created by MongoDB.</t>
  </si>
  <si>
    <t xml:space="preserve">ObjectId(...)</t>
  </si>
  <si>
    <t xml:space="preserve">Created on insert</t>
  </si>
  <si>
    <t xml:space="preserve">handle</t>
  </si>
  <si>
    <t xml:space="preserve">string</t>
  </si>
  <si>
    <t xml:space="preserve">Unique index with snapshot_date</t>
  </si>
  <si>
    <t xml:space="preserve">Product handle from the URL /products/&lt;handle&gt;; the product key.</t>
  </si>
  <si>
    <t xml:space="preserve">harper-3-seater-sofa-chenille-almond</t>
  </si>
  <si>
    <t xml:space="preserve">Text after /products/ in the product link</t>
  </si>
  <si>
    <t xml:space="preserve">name</t>
  </si>
  <si>
    <t xml:space="preserve">Product name as shown on the card.</t>
  </si>
  <si>
    <t xml:space="preserve">Harper 3-Seater Sofa - Chenille Almond</t>
  </si>
  <si>
    <t xml:space="preserve">Trim spaces</t>
  </si>
  <si>
    <t xml:space="preserve">dim_product.product_name</t>
  </si>
  <si>
    <t xml:space="preserve">brand</t>
  </si>
  <si>
    <t xml:space="preserve">Index</t>
  </si>
  <si>
    <t xml:space="preserve">Brand shown on the card.</t>
  </si>
  <si>
    <t xml:space="preserve">Vitra</t>
  </si>
  <si>
    <t xml:space="preserve">Trim; null if missing</t>
  </si>
  <si>
    <t xml:space="preserve">dim_product.brand</t>
  </si>
  <si>
    <t xml:space="preserve">designer</t>
  </si>
  <si>
    <t xml:space="preserve">Designer, when shown (e.g. 'Antonio Citterio for Vitra').</t>
  </si>
  <si>
    <t xml:space="preserve">Antonio Citterio</t>
  </si>
  <si>
    <t xml:space="preserve">Text before ' for '; null if missing</t>
  </si>
  <si>
    <t xml:space="preserve">dim_product.designer</t>
  </si>
  <si>
    <t xml:space="preserve">collection</t>
  </si>
  <si>
    <t xml:space="preserve">Collection page the product was found on.</t>
  </si>
  <si>
    <t xml:space="preserve">sofas</t>
  </si>
  <si>
    <t xml:space="preserve">Name in /collections/&lt;name&gt;</t>
  </si>
  <si>
    <t xml:space="preserve">sale_price</t>
  </si>
  <si>
    <t xml:space="preserve">double</t>
  </si>
  <si>
    <t xml:space="preserve">Current price in KWD.</t>
  </si>
  <si>
    <t xml:space="preserve">1134.0</t>
  </si>
  <si>
    <t xml:space="preserve">Remove 'KD' and thousands commas; to number</t>
  </si>
  <si>
    <t xml:space="preserve">dim_product.list_price_kwd</t>
  </si>
  <si>
    <t xml:space="preserve">original_price</t>
  </si>
  <si>
    <t xml:space="preserve">Price before discount in KWD; null when there is no discount.</t>
  </si>
  <si>
    <t xml:space="preserve">1890.0</t>
  </si>
  <si>
    <t xml:space="preserve">Same parsing as sale_price</t>
  </si>
  <si>
    <t xml:space="preserve">dim_product.original_price_kwd</t>
  </si>
  <si>
    <t xml:space="preserve">discount_pct</t>
  </si>
  <si>
    <t xml:space="preserve">int</t>
  </si>
  <si>
    <t xml:space="preserve">Discount badge as a number.</t>
  </si>
  <si>
    <t xml:space="preserve">40</t>
  </si>
  <si>
    <t xml:space="preserve">From '-40%'; null if no badge</t>
  </si>
  <si>
    <t xml:space="preserve">dim_product.discount_pct</t>
  </si>
  <si>
    <t xml:space="preserve">currency</t>
  </si>
  <si>
    <t xml:space="preserve">Currency of the prices.</t>
  </si>
  <si>
    <t xml:space="preserve">KWD</t>
  </si>
  <si>
    <t xml:space="preserve">Always 'KWD'</t>
  </si>
  <si>
    <t xml:space="preserve">Not loaded (fixed)</t>
  </si>
  <si>
    <t xml:space="preserve">stock_status</t>
  </si>
  <si>
    <t xml:space="preserve">Stock text from the card.</t>
  </si>
  <si>
    <t xml:space="preserve">Only 2 Left In Stock</t>
  </si>
  <si>
    <t xml:space="preserve">One of the 4 known texts (Value_Domains)</t>
  </si>
  <si>
    <t xml:space="preserve">dim_product.stock_status</t>
  </si>
  <si>
    <t xml:space="preserve">stock_left</t>
  </si>
  <si>
    <t xml:space="preserve">Units left when the text is 'Only N Left In Stock'.</t>
  </si>
  <si>
    <t xml:space="preserve">2</t>
  </si>
  <si>
    <t xml:space="preserve">Number N; null otherwise</t>
  </si>
  <si>
    <t xml:space="preserve">dim_product.stock_left</t>
  </si>
  <si>
    <t xml:space="preserve">url</t>
  </si>
  <si>
    <t xml:space="preserve">Absolute product link.</t>
  </si>
  <si>
    <t xml:space="preserve">https://www.theconranshop.com.kw/products/&lt;handle&gt;</t>
  </si>
  <si>
    <t xml:space="preserve">urljoin with the site address</t>
  </si>
  <si>
    <t xml:space="preserve">dim_product.product_url</t>
  </si>
  <si>
    <t xml:space="preserve">snapshot_date</t>
  </si>
  <si>
    <t xml:space="preserve">string (YYYY-MM-DD)</t>
  </si>
  <si>
    <t xml:space="preserve">Unique index with handle</t>
  </si>
  <si>
    <t xml:space="preserve">Date of the scrape run (UTC).</t>
  </si>
  <si>
    <t xml:space="preserve">2026-10-25</t>
  </si>
  <si>
    <t xml:space="preserve">Date part of scraped_at</t>
  </si>
  <si>
    <t xml:space="preserve">Used to pick the latest snapshot</t>
  </si>
  <si>
    <t xml:space="preserve">scraped_at</t>
  </si>
  <si>
    <t xml:space="preserve">date</t>
  </si>
  <si>
    <t xml:space="preserve">Start time of the scrape run (UTC).</t>
  </si>
  <si>
    <t xml:space="preserve">2026-10-25T06:00:00Z</t>
  </si>
  <si>
    <t xml:space="preserve">datetime.now(timezone.utc)</t>
  </si>
  <si>
    <t xml:space="preserve">dim_product.first_seen_at / last_seen_at</t>
  </si>
  <si>
    <t xml:space="preserve">1. Database: catalog; collection: products. One document per product per snapshot date, so price history is kept.</t>
  </si>
  <si>
    <t xml:space="preserve">2. Indexes: unique (handle, snapshot_date); brand; collection.</t>
  </si>
  <si>
    <t xml:space="preserve">3. Fields come from the product cards seen on 16-Oct-2026. HTML selectors are not fixed yet: confirm each field after the first scrape (T1.5).</t>
  </si>
  <si>
    <t xml:space="preserve">4. A product can appear in more than one collection; keep one document per handle per snapshot (first collection found).</t>
  </si>
  <si>
    <t xml:space="preserve">5. Example values show the format only.</t>
  </si>
  <si>
    <t xml:space="preserve">Module 03 - Data warehouse: PostgreSQL star schema</t>
  </si>
  <si>
    <t xml:space="preserve">One fact table and three dimensions. Load in the order shown; fact_sales needs the three dimensions first.</t>
  </si>
  <si>
    <t xml:space="preserve">Load order</t>
  </si>
  <si>
    <t xml:space="preserve">Grain (one row per...)</t>
  </si>
  <si>
    <t xml:space="preserve">Primary key</t>
  </si>
  <si>
    <t xml:space="preserve">Unique (natural) key</t>
  </si>
  <si>
    <t xml:space="preserve">Expected rows</t>
  </si>
  <si>
    <t xml:space="preserve">Load method</t>
  </si>
  <si>
    <t xml:space="preserve">Dimension</t>
  </si>
  <si>
    <t xml:space="preserve">calendar day, 2016-01-01 to 2018-12-31</t>
  </si>
  <si>
    <t xml:space="preserve">date_key</t>
  </si>
  <si>
    <t xml:space="preserve">full_date</t>
  </si>
  <si>
    <t xml:space="preserve">1,096</t>
  </si>
  <si>
    <t xml:space="preserve">Generated once with generate_series</t>
  </si>
  <si>
    <t xml:space="preserve">Olist customer_id</t>
  </si>
  <si>
    <t xml:space="preserve">customer_key</t>
  </si>
  <si>
    <t xml:space="preserve">about 99,441</t>
  </si>
  <si>
    <t xml:space="preserve">Upsert on customer_id</t>
  </si>
  <si>
    <t xml:space="preserve">product per source system (Olist product or Conran Shop product)</t>
  </si>
  <si>
    <t xml:space="preserve">product_key</t>
  </si>
  <si>
    <t xml:space="preserve">source_system + product_id</t>
  </si>
  <si>
    <t xml:space="preserve">about 32,951 Olist + about 1,900 Conran</t>
  </si>
  <si>
    <t xml:space="preserve">Upsert on (source_system, product_id); latest values kept</t>
  </si>
  <si>
    <t xml:space="preserve">Fact</t>
  </si>
  <si>
    <t xml:space="preserve">item inside an Olist order</t>
  </si>
  <si>
    <t xml:space="preserve">sales_key</t>
  </si>
  <si>
    <t xml:space="preserve">order_id + order_item_id</t>
  </si>
  <si>
    <t xml:space="preserve">about 112,650 (all batches)</t>
  </si>
  <si>
    <t xml:space="preserve">Incremental: only orders newer than the last loaded purchase time; ON CONFLICT DO NOTHING</t>
  </si>
  <si>
    <t xml:space="preserve">Relationships</t>
  </si>
  <si>
    <t xml:space="preserve">Child table.column</t>
  </si>
  <si>
    <t xml:space="preserve">Parent table.column</t>
  </si>
  <si>
    <t xml:space="preserve">Cardinality</t>
  </si>
  <si>
    <t xml:space="preserve">Lookup rule</t>
  </si>
  <si>
    <t xml:space="preserve">fact_sales.date_key</t>
  </si>
  <si>
    <t xml:space="preserve">dim_date.date_key</t>
  </si>
  <si>
    <t xml:space="preserve">many-to-one</t>
  </si>
  <si>
    <t xml:space="preserve">TO_CHAR(order_purchase_timestamp, 'YYYYMMDD')::INT</t>
  </si>
  <si>
    <t xml:space="preserve">fact_sales.customer_key</t>
  </si>
  <si>
    <t xml:space="preserve">dim_customer.customer_key</t>
  </si>
  <si>
    <t xml:space="preserve">orders.customer_id = dim_customer.customer_id</t>
  </si>
  <si>
    <t xml:space="preserve">fact_sales.product_key</t>
  </si>
  <si>
    <t xml:space="preserve">dim_product.product_key</t>
  </si>
  <si>
    <t xml:space="preserve">source_system = 'olist' AND order_items.product_id = dim_product.product_id</t>
  </si>
  <si>
    <t xml:space="preserve">Company reports the schema must answer (Module 04)</t>
  </si>
  <si>
    <t xml:space="preserve">1. Total sales per year per state</t>
  </si>
  <si>
    <t xml:space="preserve">2. Total sales per month per category</t>
  </si>
  <si>
    <t xml:space="preserve">3. Total sales per quarter per state</t>
  </si>
  <si>
    <t xml:space="preserve">4. Total sales per category per state</t>
  </si>
  <si>
    <t xml:space="preserve">Load checks</t>
  </si>
  <si>
    <t xml:space="preserve">Step</t>
  </si>
  <si>
    <t xml:space="preserve">Check</t>
  </si>
  <si>
    <t xml:space="preserve">MySQL load</t>
  </si>
  <si>
    <t xml:space="preserve">Row count of each batch file = rows inserted; no orphan order_items, payments or reviews (foreign keys).</t>
  </si>
  <si>
    <t xml:space="preserve">MongoDB load</t>
  </si>
  <si>
    <t xml:space="preserve">Documents inserted = products scraped; no duplicate (handle, snapshot_date); sale_price &gt; 0.</t>
  </si>
  <si>
    <t xml:space="preserve">Warehouse load</t>
  </si>
  <si>
    <t xml:space="preserve">Fact rows added = new order items in MySQL; no NULL foreign keys; SUM(price_brl) matches MySQL for the batch.</t>
  </si>
  <si>
    <t xml:space="preserve">Warehouse table: fact_sales</t>
  </si>
  <si>
    <t xml:space="preserve">Grain: one row per item inside an Olist order. Incremental load of new orders only.</t>
  </si>
  <si>
    <t xml:space="preserve">PostgreSQL type</t>
  </si>
  <si>
    <t xml:space="preserve">Transformation rule</t>
  </si>
  <si>
    <t xml:space="preserve">BIGINT GENERATED ALWAYS AS IDENTITY</t>
  </si>
  <si>
    <t xml:space="preserve">Surrogate key.</t>
  </si>
  <si>
    <t xml:space="preserve">Generated</t>
  </si>
  <si>
    <t xml:space="preserve">Assigned by PostgreSQL</t>
  </si>
  <si>
    <t xml:space="preserve">1</t>
  </si>
  <si>
    <t xml:space="preserve">UK (part 1)</t>
  </si>
  <si>
    <t xml:space="preserve">Olist order (degenerate dimension).</t>
  </si>
  <si>
    <t xml:space="preserve">MySQL order_items.order_id</t>
  </si>
  <si>
    <t xml:space="preserve">32-character hexadecimal ID</t>
  </si>
  <si>
    <t xml:space="preserve">UK (part 2)</t>
  </si>
  <si>
    <t xml:space="preserve">Item number inside the order.</t>
  </si>
  <si>
    <t xml:space="preserve">MySQL order_items.order_item_id</t>
  </si>
  <si>
    <t xml:space="preserve">INTEGER</t>
  </si>
  <si>
    <t xml:space="preserve">FK &gt; dim_date</t>
  </si>
  <si>
    <t xml:space="preserve">Purchase date.</t>
  </si>
  <si>
    <t xml:space="preserve">MySQL orders.order_purchase_timestamp</t>
  </si>
  <si>
    <t xml:space="preserve">20170315</t>
  </si>
  <si>
    <t xml:space="preserve">FK &gt; dim_customer</t>
  </si>
  <si>
    <t xml:space="preserve">MySQL orders.customer_id</t>
  </si>
  <si>
    <t xml:space="preserve">Lookup dim_customer by customer_id</t>
  </si>
  <si>
    <t xml:space="preserve">1532</t>
  </si>
  <si>
    <t xml:space="preserve">FK &gt; dim_product</t>
  </si>
  <si>
    <t xml:space="preserve">MySQL order_items.product_id</t>
  </si>
  <si>
    <t xml:space="preserve">Lookup dim_product where source_system = 'olist'</t>
  </si>
  <si>
    <t xml:space="preserve">870</t>
  </si>
  <si>
    <t xml:space="preserve">Seller (degenerate dimension).</t>
  </si>
  <si>
    <t xml:space="preserve">MySQL order_items.seller_id</t>
  </si>
  <si>
    <t xml:space="preserve">Order status at load time.</t>
  </si>
  <si>
    <t xml:space="preserve">MySQL orders.order_status</t>
  </si>
  <si>
    <t xml:space="preserve">Trim; lower case</t>
  </si>
  <si>
    <t xml:space="preserve">delivered</t>
  </si>
  <si>
    <t xml:space="preserve">order_purchase_ts</t>
  </si>
  <si>
    <t xml:space="preserve">Purchase date and time (local Brazil time).</t>
  </si>
  <si>
    <t xml:space="preserve">Copy</t>
  </si>
  <si>
    <t xml:space="preserve">2017-03-15 10:22:31</t>
  </si>
  <si>
    <t xml:space="preserve">delivered_customer_ts</t>
  </si>
  <si>
    <t xml:space="preserve">Delivery time; NULL if not delivered.</t>
  </si>
  <si>
    <t xml:space="preserve">MySQL orders.order_delivered_customer_date</t>
  </si>
  <si>
    <t xml:space="preserve">2017-03-24 18:05:12</t>
  </si>
  <si>
    <t xml:space="preserve">estimated_delivery_date</t>
  </si>
  <si>
    <t xml:space="preserve">DATE</t>
  </si>
  <si>
    <t xml:space="preserve">MySQL orders.order_estimated_delivery_date</t>
  </si>
  <si>
    <t xml:space="preserve">Cast to DATE</t>
  </si>
  <si>
    <t xml:space="preserve">2017-04-05</t>
  </si>
  <si>
    <t xml:space="preserve">delivery_days</t>
  </si>
  <si>
    <t xml:space="preserve">Days from purchase to delivery; NULL if not delivered.</t>
  </si>
  <si>
    <t xml:space="preserve">derived</t>
  </si>
  <si>
    <t xml:space="preserve">delivered_customer_ts::DATE - order_purchase_ts::DATE</t>
  </si>
  <si>
    <t xml:space="preserve">9</t>
  </si>
  <si>
    <t xml:space="preserve">is_late</t>
  </si>
  <si>
    <t xml:space="preserve">BOOLEAN</t>
  </si>
  <si>
    <t xml:space="preserve">Delivered after the promised date; NULL if not delivered.</t>
  </si>
  <si>
    <t xml:space="preserve">delivered_customer_ts::DATE &gt; estimated_delivery_date</t>
  </si>
  <si>
    <t xml:space="preserve">FALSE</t>
  </si>
  <si>
    <t xml:space="preserve">price_brl</t>
  </si>
  <si>
    <t xml:space="preserve">NUMERIC(10,2)</t>
  </si>
  <si>
    <t xml:space="preserve">MySQL order_items.price</t>
  </si>
  <si>
    <t xml:space="preserve">89.90</t>
  </si>
  <si>
    <t xml:space="preserve">freight_brl</t>
  </si>
  <si>
    <t xml:space="preserve">MySQL order_items.freight_value</t>
  </si>
  <si>
    <t xml:space="preserve">15.10</t>
  </si>
  <si>
    <t xml:space="preserve">item_total_brl</t>
  </si>
  <si>
    <t xml:space="preserve">NUMERIC(12,2)</t>
  </si>
  <si>
    <t xml:space="preserve">Price plus freight in BRL.</t>
  </si>
  <si>
    <t xml:space="preserve">price_brl + freight_brl</t>
  </si>
  <si>
    <t xml:space="preserve">105.00</t>
  </si>
  <si>
    <t xml:space="preserve">Review score of the order (1-5); NULL if no review.</t>
  </si>
  <si>
    <t xml:space="preserve">MySQL order_reviews.review_score</t>
  </si>
  <si>
    <t xml:space="preserve">Latest review per order (highest review_answer_timestamp)</t>
  </si>
  <si>
    <t xml:space="preserve">5</t>
  </si>
  <si>
    <t xml:space="preserve">batch_id</t>
  </si>
  <si>
    <t xml:space="preserve">CHAR(7)</t>
  </si>
  <si>
    <t xml:space="preserve">Purchase month of the batch.</t>
  </si>
  <si>
    <t xml:space="preserve">TO_CHAR(order_purchase_timestamp, 'YYYY-MM')</t>
  </si>
  <si>
    <t xml:space="preserve">2017-03</t>
  </si>
  <si>
    <t xml:space="preserve">TIMESTAMPTZ</t>
  </si>
  <si>
    <t xml:space="preserve">Insert time in the warehouse.</t>
  </si>
  <si>
    <t xml:space="preserve">DEFAULT now()</t>
  </si>
  <si>
    <t xml:space="preserve">2026-10-28 09:00:00+00</t>
  </si>
  <si>
    <t xml:space="preserve">1. Constraints: UNIQUE (order_id, order_item_id); CHECK (price_brl &gt; 0); CHECK (freight_brl &gt;= 0); CHECK (review_score BETWEEN 1 AND 5).</t>
  </si>
  <si>
    <t xml:space="preserve">2. Incremental marker: the ETL reads MAX(order_purchase_ts) from fact_sales and takes only MySQL orders with a later purchase time.</t>
  </si>
  <si>
    <t xml:space="preserve">3. Amounts stay in BRL (no currency conversion). Indexes: date_key, customer_key, product_key, order_status.</t>
  </si>
  <si>
    <t xml:space="preserve">4. Example values only show the format; they are not taken from the data.</t>
  </si>
  <si>
    <t xml:space="preserve">Warehouse table: dim_customer</t>
  </si>
  <si>
    <t xml:space="preserve">Grain: one row per Olist customer_id. Upsert on customer_id.</t>
  </si>
  <si>
    <t xml:space="preserve">INTEGER GENERATED ALWAYS AS IDENTITY</t>
  </si>
  <si>
    <t xml:space="preserve">UK</t>
  </si>
  <si>
    <t xml:space="preserve">Olist customer key (one per order).</t>
  </si>
  <si>
    <t xml:space="preserve">MySQL customers.customer_id</t>
  </si>
  <si>
    <t xml:space="preserve">The real person; count customers with COUNT(DISTINCT customer_unique_id).</t>
  </si>
  <si>
    <t xml:space="preserve">MySQL customers.customer_unique_id</t>
  </si>
  <si>
    <t xml:space="preserve">zip_code_prefix</t>
  </si>
  <si>
    <t xml:space="preserve">MySQL customers.customer_zip_code_prefix</t>
  </si>
  <si>
    <t xml:space="preserve">Copy (already padded in MySQL)</t>
  </si>
  <si>
    <t xml:space="preserve">01310</t>
  </si>
  <si>
    <t xml:space="preserve">city</t>
  </si>
  <si>
    <t xml:space="preserve">City name.</t>
  </si>
  <si>
    <t xml:space="preserve">MySQL customers.customer_city</t>
  </si>
  <si>
    <t xml:space="preserve">sao paulo</t>
  </si>
  <si>
    <t xml:space="preserve">state</t>
  </si>
  <si>
    <t xml:space="preserve">State code; used by the state reports.</t>
  </si>
  <si>
    <t xml:space="preserve">MySQL customers.customer_state</t>
  </si>
  <si>
    <t xml:space="preserve">SP</t>
  </si>
  <si>
    <t xml:space="preserve">First insert time.</t>
  </si>
  <si>
    <t xml:space="preserve">updated_at</t>
  </si>
  <si>
    <t xml:space="preserve">Last update time.</t>
  </si>
  <si>
    <t xml:space="preserve">now() on insert and on every upsert</t>
  </si>
  <si>
    <t xml:space="preserve">1. Indexes: customer_unique_id, state.</t>
  </si>
  <si>
    <t xml:space="preserve">Warehouse table: dim_product</t>
  </si>
  <si>
    <t xml:space="preserve">Grain: one row per product per source system (Olist and The Conran Shop). Upsert on (source_system, product_id).</t>
  </si>
  <si>
    <t xml:space="preserve">source_system</t>
  </si>
  <si>
    <t xml:space="preserve">VARCHAR(10)</t>
  </si>
  <si>
    <t xml:space="preserve">Where the product comes from.</t>
  </si>
  <si>
    <t xml:space="preserve">'olist' or 'conran'</t>
  </si>
  <si>
    <t xml:space="preserve">olist</t>
  </si>
  <si>
    <t xml:space="preserve">VARCHAR(150)</t>
  </si>
  <si>
    <t xml:space="preserve">Product id in its source.</t>
  </si>
  <si>
    <t xml:space="preserve">MySQL products.product_id / MongoDB handle</t>
  </si>
  <si>
    <t xml:space="preserve">product_name</t>
  </si>
  <si>
    <t xml:space="preserve">VARCHAR(255)</t>
  </si>
  <si>
    <t xml:space="preserve">Name; Conran only (Olist publishes no names).</t>
  </si>
  <si>
    <t xml:space="preserve">MongoDB name</t>
  </si>
  <si>
    <t xml:space="preserve">Trim; NULL for Olist</t>
  </si>
  <si>
    <t xml:space="preserve">category_pt</t>
  </si>
  <si>
    <t xml:space="preserve">Category in Portuguese; Olist only.</t>
  </si>
  <si>
    <t xml:space="preserve">MySQL products.product_category_name</t>
  </si>
  <si>
    <t xml:space="preserve">NULL for Conran</t>
  </si>
  <si>
    <t xml:space="preserve">moveis_decoracao</t>
  </si>
  <si>
    <t xml:space="preserve">category_en</t>
  </si>
  <si>
    <t xml:space="preserve">Category used in reports.</t>
  </si>
  <si>
    <t xml:space="preserve">MySQL category_translation / MongoDB collection</t>
  </si>
  <si>
    <t xml:space="preserve">Olist: English name; empty -&gt; 'unknown'; no translation -&gt; category_pt. Conran: collection name</t>
  </si>
  <si>
    <t xml:space="preserve">furniture_decor</t>
  </si>
  <si>
    <t xml:space="preserve">Brand; Conran only.</t>
  </si>
  <si>
    <t xml:space="preserve">MongoDB brand</t>
  </si>
  <si>
    <t xml:space="preserve">NULL for Olist</t>
  </si>
  <si>
    <t xml:space="preserve">Designer; Conran only.</t>
  </si>
  <si>
    <t xml:space="preserve">MongoDB designer</t>
  </si>
  <si>
    <t xml:space="preserve">photos_qty</t>
  </si>
  <si>
    <t xml:space="preserve">Number of photos; Olist only.</t>
  </si>
  <si>
    <t xml:space="preserve">MySQL products.product_photos_qty</t>
  </si>
  <si>
    <t xml:space="preserve">weight_g</t>
  </si>
  <si>
    <t xml:space="preserve">Weight in grams; Olist only.</t>
  </si>
  <si>
    <t xml:space="preserve">MySQL products.product_weight_g</t>
  </si>
  <si>
    <t xml:space="preserve">500</t>
  </si>
  <si>
    <t xml:space="preserve">length_cm</t>
  </si>
  <si>
    <t xml:space="preserve">Length; Olist only.</t>
  </si>
  <si>
    <t xml:space="preserve">MySQL products.product_length_cm</t>
  </si>
  <si>
    <t xml:space="preserve">16</t>
  </si>
  <si>
    <t xml:space="preserve">height_cm</t>
  </si>
  <si>
    <t xml:space="preserve">Height; Olist only.</t>
  </si>
  <si>
    <t xml:space="preserve">MySQL products.product_height_cm</t>
  </si>
  <si>
    <t xml:space="preserve">10</t>
  </si>
  <si>
    <t xml:space="preserve">width_cm</t>
  </si>
  <si>
    <t xml:space="preserve">Width; Olist only.</t>
  </si>
  <si>
    <t xml:space="preserve">MySQL products.product_width_cm</t>
  </si>
  <si>
    <t xml:space="preserve">14</t>
  </si>
  <si>
    <t xml:space="preserve">list_price_kwd</t>
  </si>
  <si>
    <t xml:space="preserve">NUMERIC(10,3)</t>
  </si>
  <si>
    <t xml:space="preserve">Latest sale price in KWD; Conran only.</t>
  </si>
  <si>
    <t xml:space="preserve">MongoDB sale_price (latest snapshot)</t>
  </si>
  <si>
    <t xml:space="preserve">1134.000</t>
  </si>
  <si>
    <t xml:space="preserve">original_price_kwd</t>
  </si>
  <si>
    <t xml:space="preserve">Latest price before discount in KWD; Conran only.</t>
  </si>
  <si>
    <t xml:space="preserve">MongoDB original_price</t>
  </si>
  <si>
    <t xml:space="preserve">1890.000</t>
  </si>
  <si>
    <t xml:space="preserve">Latest discount %; Conran only.</t>
  </si>
  <si>
    <t xml:space="preserve">MongoDB discount_pct</t>
  </si>
  <si>
    <t xml:space="preserve">VARCHAR(30)</t>
  </si>
  <si>
    <t xml:space="preserve">Latest stock text; Conran only.</t>
  </si>
  <si>
    <t xml:space="preserve">MongoDB stock_status</t>
  </si>
  <si>
    <t xml:space="preserve">Units left when shown; Conran only.</t>
  </si>
  <si>
    <t xml:space="preserve">MongoDB stock_left</t>
  </si>
  <si>
    <t xml:space="preserve">product_url</t>
  </si>
  <si>
    <t xml:space="preserve">VARCHAR(300)</t>
  </si>
  <si>
    <t xml:space="preserve">Product page; Conran only.</t>
  </si>
  <si>
    <t xml:space="preserve">MongoDB url</t>
  </si>
  <si>
    <t xml:space="preserve">https://www.theconranshop.com.kw/products/...</t>
  </si>
  <si>
    <t xml:space="preserve">first_seen_at</t>
  </si>
  <si>
    <t xml:space="preserve">First snapshot with the product; Conran only.</t>
  </si>
  <si>
    <t xml:space="preserve">MongoDB scraped_at</t>
  </si>
  <si>
    <t xml:space="preserve">Set on first insert only</t>
  </si>
  <si>
    <t xml:space="preserve">2026-10-25 06:00:00+00</t>
  </si>
  <si>
    <t xml:space="preserve">last_seen_at</t>
  </si>
  <si>
    <t xml:space="preserve">Latest snapshot with the product; Conran only.</t>
  </si>
  <si>
    <t xml:space="preserve">Updated on every upsert</t>
  </si>
  <si>
    <t xml:space="preserve">2026-10-30 06:00:00+00</t>
  </si>
  <si>
    <t xml:space="preserve">1. Constraints: UNIQUE (source_system, product_id); CHECK (source_system IN ('olist','conran')).</t>
  </si>
  <si>
    <t xml:space="preserve">2. Conran products have no sales in fact_sales (no shared id with Olist); they support catalogue analysis only. Price history stays in MongoDB (one document per snapshot).</t>
  </si>
  <si>
    <t xml:space="preserve">3. Index: category_en.</t>
  </si>
  <si>
    <t xml:space="preserve">Warehouse table: dim_date</t>
  </si>
  <si>
    <t xml:space="preserve">Grain: one row per calendar day, 2016-01-01 to 2018-12-31 (1,096 rows). Generated once.</t>
  </si>
  <si>
    <t xml:space="preserve">Date as YYYYMMDD.</t>
  </si>
  <si>
    <t xml:space="preserve">TO_CHAR(d, 'YYYYMMDD')::INT</t>
  </si>
  <si>
    <t xml:space="preserve">Calendar date.</t>
  </si>
  <si>
    <t xml:space="preserve">generate_series('2016-01-01'::DATE, '2018-12-31'::DATE, INTERVAL '1 day')</t>
  </si>
  <si>
    <t xml:space="preserve">2017-03-15</t>
  </si>
  <si>
    <t xml:space="preserve">day_of_month</t>
  </si>
  <si>
    <t xml:space="preserve">Day (1-31).</t>
  </si>
  <si>
    <t xml:space="preserve">EXTRACT(DAY FROM d)</t>
  </si>
  <si>
    <t xml:space="preserve">15</t>
  </si>
  <si>
    <t xml:space="preserve">day_name</t>
  </si>
  <si>
    <t xml:space="preserve">VARCHAR(9)</t>
  </si>
  <si>
    <t xml:space="preserve">Day name.</t>
  </si>
  <si>
    <t xml:space="preserve">TRIM(TO_CHAR(d, 'Day'))</t>
  </si>
  <si>
    <t xml:space="preserve">Wednesday</t>
  </si>
  <si>
    <t xml:space="preserve">iso_day_of_week</t>
  </si>
  <si>
    <t xml:space="preserve">1 = Monday ... 7 = Sunday.</t>
  </si>
  <si>
    <t xml:space="preserve">EXTRACT(ISODOW FROM d)</t>
  </si>
  <si>
    <t xml:space="preserve">3</t>
  </si>
  <si>
    <t xml:space="preserve">iso_week</t>
  </si>
  <si>
    <t xml:space="preserve">ISO week (1-53).</t>
  </si>
  <si>
    <t xml:space="preserve">EXTRACT(WEEK FROM d)</t>
  </si>
  <si>
    <t xml:space="preserve">11</t>
  </si>
  <si>
    <t xml:space="preserve">month_num</t>
  </si>
  <si>
    <t xml:space="preserve">Month (1-12).</t>
  </si>
  <si>
    <t xml:space="preserve">EXTRACT(MONTH FROM d)</t>
  </si>
  <si>
    <t xml:space="preserve">month_name</t>
  </si>
  <si>
    <t xml:space="preserve">Month name.</t>
  </si>
  <si>
    <t xml:space="preserve">TRIM(TO_CHAR(d, 'Month'))</t>
  </si>
  <si>
    <t xml:space="preserve">March</t>
  </si>
  <si>
    <t xml:space="preserve">quarter</t>
  </si>
  <si>
    <t xml:space="preserve">Quarter (1-4).</t>
  </si>
  <si>
    <t xml:space="preserve">EXTRACT(QUARTER FROM d)</t>
  </si>
  <si>
    <t xml:space="preserve">quarter_name</t>
  </si>
  <si>
    <t xml:space="preserve">Quarter label for reports.</t>
  </si>
  <si>
    <t xml:space="preserve">'Q' || EXTRACT(QUARTER FROM d)</t>
  </si>
  <si>
    <t xml:space="preserve">Q1</t>
  </si>
  <si>
    <t xml:space="preserve">year</t>
  </si>
  <si>
    <t xml:space="preserve">Year.</t>
  </si>
  <si>
    <t xml:space="preserve">EXTRACT(YEAR FROM d)</t>
  </si>
  <si>
    <t xml:space="preserve">2017</t>
  </si>
  <si>
    <t xml:space="preserve">year_month</t>
  </si>
  <si>
    <t xml:space="preserve">Year and month (matches batch_id).</t>
  </si>
  <si>
    <t xml:space="preserve">TO_CHAR(d, 'YYYY-MM')</t>
  </si>
  <si>
    <t xml:space="preserve">is_weekend</t>
  </si>
  <si>
    <t xml:space="preserve">Saturday or Sunday.</t>
  </si>
  <si>
    <t xml:space="preserve">EXTRACT(ISODOW FROM d) IN (6, 7)</t>
  </si>
  <si>
    <t xml:space="preserve">1. d = each date from generate_series. TO_CHAR 'Day' and 'Month' pad names with spaces, so TRIM is required.</t>
  </si>
  <si>
    <t xml:space="preserve">Value domains</t>
  </si>
  <si>
    <t xml:space="preserve">Allowed values for coded columns.</t>
  </si>
  <si>
    <t xml:space="preserve">Value</t>
  </si>
  <si>
    <t xml:space="preserve">Meaning</t>
  </si>
  <si>
    <t xml:space="preserve">orders.order_status</t>
  </si>
  <si>
    <t xml:space="preserve">Delivered to the customer</t>
  </si>
  <si>
    <t xml:space="preserve">Published schema - confirm</t>
  </si>
  <si>
    <t xml:space="preserve">shipped</t>
  </si>
  <si>
    <t xml:space="preserve">Handed to the carrier</t>
  </si>
  <si>
    <t xml:space="preserve">canceled</t>
  </si>
  <si>
    <t xml:space="preserve">Cancelled (original spelling)</t>
  </si>
  <si>
    <t xml:space="preserve">unavailable</t>
  </si>
  <si>
    <t xml:space="preserve">Product unavailable</t>
  </si>
  <si>
    <t xml:space="preserve">invoiced</t>
  </si>
  <si>
    <t xml:space="preserve">Invoice issued</t>
  </si>
  <si>
    <t xml:space="preserve">processing</t>
  </si>
  <si>
    <t xml:space="preserve">Being prepared</t>
  </si>
  <si>
    <t xml:space="preserve">created</t>
  </si>
  <si>
    <t xml:space="preserve">Order created</t>
  </si>
  <si>
    <t xml:space="preserve">approved</t>
  </si>
  <si>
    <t xml:space="preserve">Payment approved</t>
  </si>
  <si>
    <t xml:space="preserve">order_payments.payment_type</t>
  </si>
  <si>
    <t xml:space="preserve">credit_card</t>
  </si>
  <si>
    <t xml:space="preserve">Credit card</t>
  </si>
  <si>
    <t xml:space="preserve">boleto</t>
  </si>
  <si>
    <t xml:space="preserve">Brazilian bank payment slip</t>
  </si>
  <si>
    <t xml:space="preserve">voucher</t>
  </si>
  <si>
    <t xml:space="preserve">Voucher / gift card</t>
  </si>
  <si>
    <t xml:space="preserve">debit_card</t>
  </si>
  <si>
    <t xml:space="preserve">Debit card</t>
  </si>
  <si>
    <t xml:space="preserve">not_defined</t>
  </si>
  <si>
    <t xml:space="preserve">Not defined in source</t>
  </si>
  <si>
    <t xml:space="preserve">order_reviews.review_score</t>
  </si>
  <si>
    <t xml:space="preserve">1 = very dissatisfied ... 5 = very satisfied</t>
  </si>
  <si>
    <t xml:space="preserve">4</t>
  </si>
  <si>
    <t xml:space="preserve">customers.customer_state / sellers.seller_state</t>
  </si>
  <si>
    <t xml:space="preserve">AC</t>
  </si>
  <si>
    <t xml:space="preserve">Brazilian state code</t>
  </si>
  <si>
    <t xml:space="preserve">Standard list (26 states + Federal District)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</si>
  <si>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</si>
  <si>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</si>
  <si>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</si>
  <si>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</si>
  <si>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</si>
  <si>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</si>
  <si>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</si>
  <si>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</si>
  <si>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</si>
  <si>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</si>
  <si>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</si>
  <si>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</si>
  <si>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</si>
  <si>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</si>
  <si>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</si>
  <si>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</si>
  <si>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</si>
  <si>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</si>
  <si>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</si>
  <si>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</si>
  <si>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</si>
  <si>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</si>
  <si>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</si>
  <si>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</si>
  <si>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TO</t>
  </si>
  <si>
    <t xml:space="preserve">catalog.products.stock_status</t>
  </si>
  <si>
    <t xml:space="preserve">In Stock</t>
  </si>
  <si>
    <t xml:space="preserve">Available</t>
  </si>
  <si>
    <t xml:space="preserve">Verified - seen on the site on 16-Oct-2026</t>
  </si>
  <si>
    <t xml:space="preserve">Only N Left In Stock</t>
  </si>
  <si>
    <t xml:space="preserve">Available, low stock (N is stored in stock_left)</t>
  </si>
  <si>
    <t xml:space="preserve">Out of Stock</t>
  </si>
  <si>
    <t xml:space="preserve">Not available</t>
  </si>
  <si>
    <t xml:space="preserve">Coming Soon</t>
  </si>
  <si>
    <t xml:space="preserve">Not yet available</t>
  </si>
  <si>
    <t xml:space="preserve">dim_product.source_system</t>
  </si>
  <si>
    <t xml:space="preserve">Product from the Olist dataset (has sales)</t>
  </si>
  <si>
    <t xml:space="preserve">Pipeline rule</t>
  </si>
  <si>
    <t xml:space="preserve">conran</t>
  </si>
  <si>
    <t xml:space="preserve">Product from The Conran Shop catalogue (no sales)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</si>
</sst>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E2EFDA"/>
        <bgColor rgb="FFF2F5F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F2F5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Commerce_Data_Dictionary_v3.xlsx" TargetMode="External"/><Relationship Id="rId2" Type="http://schemas.openxmlformats.org/officeDocument/2006/relationships/hyperlink" Target="ECommerce_Data_Dictionary_v3.xlsx" TargetMode="External"/><Relationship Id="rId3" Type="http://schemas.openxmlformats.org/officeDocument/2006/relationships/hyperlink" Target="ECommerce_Data_Dictionary_v3.xlsx" TargetMode="External"/><Relationship Id="rId4" Type="http://schemas.openxmlformats.org/officeDocument/2006/relationships/hyperlink" Target="ECommerce_Data_Dictionary_v3.xlsx" TargetMode="External"/><Relationship Id="rId5" Type="http://schemas.openxmlformats.org/officeDocument/2006/relationships/hyperlink" Target="ECommerce_Data_Dictionary_v3.xlsx" TargetMode="External"/><Relationship Id="rId6" Type="http://schemas.openxmlformats.org/officeDocument/2006/relationships/hyperlink" Target="ECommerce_Data_Dictionary_v3.xlsx" TargetMode="External"/><Relationship Id="rId7" Type="http://schemas.openxmlformats.org/officeDocument/2006/relationships/hyperlink" Target="ECommerce_Data_Dictionary_v3.xlsx" TargetMode="External"/><Relationship Id="rId8" Type="http://schemas.openxmlformats.org/officeDocument/2006/relationships/hyperlink" Target="ECommerce_Data_Dictionary_v3.xlsx" TargetMode="External"/><Relationship Id="rId9" Type="http://schemas.openxmlformats.org/officeDocument/2006/relationships/hyperlink" Target="ECommerce_Data_Dictionary_v3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</row>
    <row r="6" customFormat="false" ht="15" hidden="false" customHeight="true" outlineLevel="0" collapsed="false">
      <c r="A6" s="3" t="s">
        <v>6</v>
      </c>
      <c r="B6" s="4" t="s">
        <v>7</v>
      </c>
      <c r="C6" s="4"/>
      <c r="D6" s="4"/>
    </row>
    <row r="7" customFormat="false" ht="15" hidden="false" customHeight="true" outlineLevel="0" collapsed="false">
      <c r="A7" s="3" t="s">
        <v>8</v>
      </c>
      <c r="B7" s="4" t="s">
        <v>9</v>
      </c>
      <c r="C7" s="4"/>
      <c r="D7" s="4"/>
    </row>
    <row r="8" customFormat="false" ht="15" hidden="false" customHeight="true" outlineLevel="0" collapsed="false">
      <c r="A8" s="3" t="s">
        <v>10</v>
      </c>
      <c r="B8" s="4" t="s">
        <v>11</v>
      </c>
      <c r="C8" s="4"/>
      <c r="D8" s="4"/>
    </row>
    <row r="9" customFormat="false" ht="27.75" hidden="false" customHeight="true" outlineLevel="0" collapsed="false">
      <c r="A9" s="3" t="s">
        <v>12</v>
      </c>
      <c r="B9" s="4" t="s">
        <v>13</v>
      </c>
      <c r="C9" s="4"/>
      <c r="D9" s="4"/>
    </row>
    <row r="11" customFormat="false" ht="15" hidden="false" customHeight="false" outlineLevel="0" collapsed="false">
      <c r="A11" s="5" t="s">
        <v>14</v>
      </c>
    </row>
    <row r="12" customFormat="false" ht="15" hidden="false" customHeight="false" outlineLevel="0" collapsed="false">
      <c r="A12" s="6" t="s">
        <v>15</v>
      </c>
      <c r="B12" s="6"/>
      <c r="C12" s="6"/>
      <c r="D12" s="6"/>
    </row>
    <row r="13" customFormat="false" ht="15" hidden="false" customHeight="false" outlineLevel="0" collapsed="false">
      <c r="A13" s="6" t="s">
        <v>16</v>
      </c>
      <c r="B13" s="6"/>
      <c r="C13" s="6"/>
      <c r="D13" s="6"/>
    </row>
    <row r="14" customFormat="false" ht="15" hidden="false" customHeight="false" outlineLevel="0" collapsed="false">
      <c r="A14" s="6" t="s">
        <v>17</v>
      </c>
      <c r="B14" s="6"/>
      <c r="C14" s="6"/>
      <c r="D14" s="6"/>
    </row>
    <row r="15" customFormat="false" ht="15" hidden="false" customHeight="false" outlineLevel="0" collapsed="false">
      <c r="A15" s="6" t="s">
        <v>18</v>
      </c>
      <c r="B15" s="6"/>
      <c r="C15" s="6"/>
      <c r="D15" s="6"/>
    </row>
    <row r="16" customFormat="false" ht="15" hidden="false" customHeight="false" outlineLevel="0" collapsed="false">
      <c r="A16" s="6" t="s">
        <v>19</v>
      </c>
      <c r="B16" s="6"/>
      <c r="C16" s="6"/>
      <c r="D16" s="6"/>
    </row>
    <row r="18" customFormat="false" ht="15" hidden="false" customHeight="false" outlineLevel="0" collapsed="false">
      <c r="A18" s="5" t="s">
        <v>20</v>
      </c>
    </row>
    <row r="19" customFormat="false" ht="15" hidden="false" customHeight="false" outlineLevel="0" collapsed="false">
      <c r="A19" s="7" t="s">
        <v>21</v>
      </c>
      <c r="B19" s="7" t="s">
        <v>22</v>
      </c>
      <c r="C19" s="7" t="s">
        <v>23</v>
      </c>
    </row>
    <row r="20" customFormat="false" ht="15" hidden="false" customHeight="false" outlineLevel="0" collapsed="false">
      <c r="A20" s="8" t="s">
        <v>24</v>
      </c>
      <c r="B20" s="9" t="s">
        <v>25</v>
      </c>
      <c r="C20" s="10" t="n">
        <f aca="false">COUNTA(Sources!A5:A10)</f>
        <v>2</v>
      </c>
    </row>
    <row r="21" customFormat="false" ht="15" hidden="false" customHeight="false" outlineLevel="0" collapsed="false">
      <c r="A21" s="11" t="s">
        <v>26</v>
      </c>
      <c r="B21" s="12" t="s">
        <v>27</v>
      </c>
      <c r="C21" s="13" t="n">
        <f aca="false">COUNTA(OLTP_MySQL!C5:C100)</f>
        <v>48</v>
      </c>
    </row>
    <row r="22" customFormat="false" ht="15" hidden="false" customHeight="false" outlineLevel="0" collapsed="false">
      <c r="A22" s="8" t="s">
        <v>28</v>
      </c>
      <c r="B22" s="9" t="s">
        <v>29</v>
      </c>
      <c r="C22" s="10" t="n">
        <f aca="false">COUNTA(NoSQL_MongoDB!B5:B50)</f>
        <v>15</v>
      </c>
    </row>
    <row r="23" customFormat="false" ht="15" hidden="false" customHeight="false" outlineLevel="0" collapsed="false">
      <c r="A23" s="11" t="s">
        <v>30</v>
      </c>
      <c r="B23" s="12" t="s">
        <v>31</v>
      </c>
      <c r="C23" s="13" t="n">
        <f aca="false">COUNTA(Star_Schema!B5:B8)</f>
        <v>4</v>
      </c>
    </row>
    <row r="24" customFormat="false" ht="15" hidden="false" customHeight="false" outlineLevel="0" collapsed="false">
      <c r="A24" s="8" t="s">
        <v>32</v>
      </c>
      <c r="B24" s="9" t="s">
        <v>33</v>
      </c>
      <c r="C24" s="10" t="n">
        <f aca="false">COUNTA(fact_sales!B5:B50)</f>
        <v>19</v>
      </c>
    </row>
    <row r="25" customFormat="false" ht="15" hidden="false" customHeight="false" outlineLevel="0" collapsed="false">
      <c r="A25" s="11" t="s">
        <v>34</v>
      </c>
      <c r="B25" s="12" t="s">
        <v>35</v>
      </c>
      <c r="C25" s="13" t="n">
        <f aca="false">COUNTA(dim_customer!B5:B50)</f>
        <v>8</v>
      </c>
    </row>
    <row r="26" customFormat="false" ht="15" hidden="false" customHeight="false" outlineLevel="0" collapsed="false">
      <c r="A26" s="8" t="s">
        <v>36</v>
      </c>
      <c r="B26" s="9" t="s">
        <v>37</v>
      </c>
      <c r="C26" s="10" t="n">
        <f aca="false">COUNTA(dim_product!B5:B50)</f>
        <v>23</v>
      </c>
    </row>
    <row r="27" customFormat="false" ht="15" hidden="false" customHeight="false" outlineLevel="0" collapsed="false">
      <c r="A27" s="11" t="s">
        <v>38</v>
      </c>
      <c r="B27" s="12" t="s">
        <v>39</v>
      </c>
      <c r="C27" s="13" t="n">
        <f aca="false">COUNTA(dim_date!B5:B50)</f>
        <v>13</v>
      </c>
    </row>
    <row r="28" customFormat="false" ht="15" hidden="false" customHeight="false" outlineLevel="0" collapsed="false">
      <c r="A28" s="8" t="s">
        <v>40</v>
      </c>
      <c r="B28" s="9" t="s">
        <v>41</v>
      </c>
      <c r="C28" s="10" t="n">
        <f aca="false">COUNTA(Value_Domains!B5:B200)</f>
        <v>51</v>
      </c>
    </row>
    <row r="29" customFormat="false" ht="15" hidden="false" customHeight="false" outlineLevel="0" collapsed="false">
      <c r="A29" s="3" t="s">
        <v>42</v>
      </c>
      <c r="C29" s="14" t="n">
        <f aca="false">C21+C22</f>
        <v>63</v>
      </c>
    </row>
    <row r="30" customFormat="false" ht="15" hidden="false" customHeight="false" outlineLevel="0" collapsed="false">
      <c r="A30" s="3" t="s">
        <v>43</v>
      </c>
      <c r="C30" s="14" t="n">
        <f aca="false">C24+C25+C26+C27</f>
        <v>63</v>
      </c>
    </row>
    <row r="32" customFormat="false" ht="15" hidden="false" customHeight="false" outlineLevel="0" collapsed="false">
      <c r="A32" s="5" t="s">
        <v>44</v>
      </c>
    </row>
    <row r="33" customFormat="false" ht="15" hidden="false" customHeight="false" outlineLevel="0" collapsed="false">
      <c r="A33" s="3" t="s">
        <v>45</v>
      </c>
      <c r="B33" s="6" t="s">
        <v>46</v>
      </c>
      <c r="C33" s="6"/>
      <c r="D33" s="6"/>
    </row>
    <row r="34" customFormat="false" ht="15" hidden="false" customHeight="false" outlineLevel="0" collapsed="false">
      <c r="A34" s="3" t="s">
        <v>47</v>
      </c>
      <c r="B34" s="6" t="s">
        <v>48</v>
      </c>
      <c r="C34" s="6"/>
      <c r="D34" s="6"/>
    </row>
    <row r="35" customFormat="false" ht="15" hidden="false" customHeight="false" outlineLevel="0" collapsed="false">
      <c r="A35" s="15" t="s">
        <v>49</v>
      </c>
      <c r="B35" s="6" t="s">
        <v>50</v>
      </c>
      <c r="C35" s="6"/>
      <c r="D35" s="6"/>
    </row>
    <row r="36" customFormat="false" ht="15" hidden="false" customHeight="false" outlineLevel="0" collapsed="false">
      <c r="A36" s="16" t="s">
        <v>51</v>
      </c>
      <c r="B36" s="6" t="s">
        <v>52</v>
      </c>
      <c r="C36" s="6"/>
      <c r="D36" s="6"/>
    </row>
    <row r="37" customFormat="false" ht="15" hidden="false" customHeight="false" outlineLevel="0" collapsed="false">
      <c r="A37" s="17" t="s">
        <v>53</v>
      </c>
      <c r="B37" s="6" t="s">
        <v>54</v>
      </c>
      <c r="C37" s="6"/>
      <c r="D37" s="6"/>
    </row>
    <row r="38" customFormat="false" ht="15" hidden="false" customHeight="false" outlineLevel="0" collapsed="false">
      <c r="A38" s="3" t="s">
        <v>55</v>
      </c>
      <c r="B38" s="6" t="s">
        <v>56</v>
      </c>
      <c r="C38" s="6"/>
      <c r="D38" s="6"/>
    </row>
    <row r="40" customFormat="false" ht="15" hidden="false" customHeight="false" outlineLevel="0" collapsed="false">
      <c r="A40" s="5" t="s">
        <v>57</v>
      </c>
    </row>
    <row r="41" customFormat="false" ht="27" hidden="false" customHeight="true" outlineLevel="0" collapsed="false">
      <c r="A41" s="4" t="s">
        <v>58</v>
      </c>
      <c r="B41" s="4"/>
      <c r="C41" s="4"/>
      <c r="D41" s="4"/>
    </row>
    <row r="42" customFormat="false" ht="27" hidden="false" customHeight="true" outlineLevel="0" collapsed="false">
      <c r="A42" s="4" t="s">
        <v>59</v>
      </c>
      <c r="B42" s="4"/>
      <c r="C42" s="4"/>
      <c r="D42" s="4"/>
    </row>
    <row r="43" customFormat="false" ht="27" hidden="false" customHeight="true" outlineLevel="0" collapsed="false">
      <c r="A43" s="4" t="s">
        <v>60</v>
      </c>
      <c r="B43" s="4"/>
      <c r="C43" s="4"/>
      <c r="D43" s="4"/>
    </row>
  </sheetData>
  <mergeCells count="20">
    <mergeCell ref="B4:D4"/>
    <mergeCell ref="B5:D5"/>
    <mergeCell ref="B6:D6"/>
    <mergeCell ref="B7:D7"/>
    <mergeCell ref="B8:D8"/>
    <mergeCell ref="B9:D9"/>
    <mergeCell ref="A12:D12"/>
    <mergeCell ref="A13:D13"/>
    <mergeCell ref="A14:D14"/>
    <mergeCell ref="A15:D15"/>
    <mergeCell ref="A16:D16"/>
    <mergeCell ref="B33:D33"/>
    <mergeCell ref="B34:D34"/>
    <mergeCell ref="B35:D35"/>
    <mergeCell ref="B36:D36"/>
    <mergeCell ref="B37:D37"/>
    <mergeCell ref="B38:D38"/>
    <mergeCell ref="A41:D41"/>
    <mergeCell ref="A42:D42"/>
    <mergeCell ref="A43:D43"/>
  </mergeCells>
  <hyperlinks>
    <hyperlink ref="A20" r:id="rId1" location="'Sources'!A1" display="Sources"/>
    <hyperlink ref="A21" r:id="rId2" location="'OLTP_MySQL'!A1" display="OLTP_MySQL"/>
    <hyperlink ref="A22" r:id="rId3" location="'NoSQL_MongoDB'!A1" display="NoSQL_MongoDB"/>
    <hyperlink ref="A23" r:id="rId4" location="'Star_Schema'!A1" display="Star_Schema"/>
    <hyperlink ref="A24" r:id="rId5" location="'fact_sales'!A1" display="fact_sales"/>
    <hyperlink ref="A25" r:id="rId6" location="'dim_customer'!A1" display="dim_customer"/>
    <hyperlink ref="A26" r:id="rId7" location="'dim_product'!A1" display="dim_product"/>
    <hyperlink ref="A27" r:id="rId8" location="'dim_date'!A1" display="dim_date"/>
    <hyperlink ref="A28" r:id="rId9" location="'Value_Domains'!A1" display="Value_Domai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6" min="5" style="0" width="30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68</v>
      </c>
      <c r="G4" s="7" t="s">
        <v>69</v>
      </c>
      <c r="H4" s="7" t="s">
        <v>70</v>
      </c>
      <c r="I4" s="7" t="s">
        <v>71</v>
      </c>
      <c r="J4" s="7" t="s">
        <v>72</v>
      </c>
    </row>
    <row r="5" customFormat="false" ht="35.05" hidden="false" customHeight="false" outlineLevel="0" collapsed="false">
      <c r="A5" s="10" t="s">
        <v>73</v>
      </c>
      <c r="B5" s="9" t="s">
        <v>74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79</v>
      </c>
      <c r="H5" s="9" t="s">
        <v>80</v>
      </c>
      <c r="I5" s="9" t="s">
        <v>81</v>
      </c>
      <c r="J5" s="18" t="s">
        <v>82</v>
      </c>
    </row>
    <row r="6" customFormat="false" ht="46.25" hidden="false" customHeight="false" outlineLevel="0" collapsed="false">
      <c r="A6" s="13" t="s">
        <v>83</v>
      </c>
      <c r="B6" s="12" t="s">
        <v>84</v>
      </c>
      <c r="C6" s="12" t="s">
        <v>85</v>
      </c>
      <c r="D6" s="12" t="s">
        <v>86</v>
      </c>
      <c r="E6" s="12" t="s">
        <v>87</v>
      </c>
      <c r="F6" s="12" t="s">
        <v>88</v>
      </c>
      <c r="G6" s="12" t="s">
        <v>89</v>
      </c>
      <c r="H6" s="12" t="s">
        <v>90</v>
      </c>
      <c r="I6" s="12" t="s">
        <v>91</v>
      </c>
      <c r="J6" s="1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7"/>
    <col collapsed="false" customWidth="true" hidden="false" outlineLevel="0" max="7" min="7" style="0" width="42"/>
    <col collapsed="false" customWidth="true" hidden="false" outlineLevel="0" max="8" min="8" style="0" width="40"/>
    <col collapsed="false" customWidth="true" hidden="false" outlineLevel="0" max="10" min="9" style="0" width="34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7" t="s">
        <v>95</v>
      </c>
      <c r="B4" s="7" t="s">
        <v>96</v>
      </c>
      <c r="C4" s="7" t="s">
        <v>97</v>
      </c>
      <c r="D4" s="7" t="s">
        <v>98</v>
      </c>
      <c r="E4" s="7" t="s">
        <v>99</v>
      </c>
      <c r="F4" s="7" t="s">
        <v>100</v>
      </c>
      <c r="G4" s="7" t="s">
        <v>101</v>
      </c>
      <c r="H4" s="7" t="s">
        <v>102</v>
      </c>
      <c r="I4" s="7" t="s">
        <v>103</v>
      </c>
      <c r="J4" s="7" t="s">
        <v>104</v>
      </c>
    </row>
    <row r="5" customFormat="false" ht="23.85" hidden="false" customHeight="false" outlineLevel="0" collapsed="false">
      <c r="A5" s="9" t="s">
        <v>105</v>
      </c>
      <c r="B5" s="10" t="n">
        <v>1</v>
      </c>
      <c r="C5" s="9" t="s">
        <v>106</v>
      </c>
      <c r="D5" s="9" t="s">
        <v>107</v>
      </c>
      <c r="E5" s="20" t="s">
        <v>108</v>
      </c>
      <c r="F5" s="10" t="s">
        <v>109</v>
      </c>
      <c r="G5" s="9" t="s">
        <v>110</v>
      </c>
      <c r="H5" s="9" t="s">
        <v>111</v>
      </c>
      <c r="I5" s="9" t="s">
        <v>112</v>
      </c>
      <c r="J5" s="9" t="s">
        <v>113</v>
      </c>
    </row>
    <row r="6" customFormat="false" ht="15" hidden="false" customHeight="false" outlineLevel="0" collapsed="false">
      <c r="A6" s="12" t="s">
        <v>105</v>
      </c>
      <c r="B6" s="13" t="n">
        <v>2</v>
      </c>
      <c r="C6" s="12" t="s">
        <v>114</v>
      </c>
      <c r="D6" s="12" t="s">
        <v>107</v>
      </c>
      <c r="E6" s="12"/>
      <c r="F6" s="13" t="s">
        <v>109</v>
      </c>
      <c r="G6" s="12" t="s">
        <v>115</v>
      </c>
      <c r="H6" s="12" t="s">
        <v>116</v>
      </c>
      <c r="I6" s="12" t="s">
        <v>112</v>
      </c>
      <c r="J6" s="12" t="s">
        <v>117</v>
      </c>
    </row>
    <row r="7" customFormat="false" ht="23.85" hidden="false" customHeight="false" outlineLevel="0" collapsed="false">
      <c r="A7" s="9" t="s">
        <v>105</v>
      </c>
      <c r="B7" s="10" t="n">
        <v>3</v>
      </c>
      <c r="C7" s="9" t="s">
        <v>118</v>
      </c>
      <c r="D7" s="9" t="s">
        <v>119</v>
      </c>
      <c r="E7" s="9"/>
      <c r="F7" s="10" t="s">
        <v>109</v>
      </c>
      <c r="G7" s="9" t="s">
        <v>120</v>
      </c>
      <c r="H7" s="9" t="s">
        <v>121</v>
      </c>
      <c r="I7" s="9" t="s">
        <v>122</v>
      </c>
      <c r="J7" s="9" t="s">
        <v>123</v>
      </c>
    </row>
    <row r="8" customFormat="false" ht="15" hidden="false" customHeight="false" outlineLevel="0" collapsed="false">
      <c r="A8" s="12" t="s">
        <v>105</v>
      </c>
      <c r="B8" s="13" t="n">
        <v>4</v>
      </c>
      <c r="C8" s="12" t="s">
        <v>124</v>
      </c>
      <c r="D8" s="12" t="s">
        <v>125</v>
      </c>
      <c r="E8" s="12"/>
      <c r="F8" s="13" t="s">
        <v>109</v>
      </c>
      <c r="G8" s="12" t="s">
        <v>126</v>
      </c>
      <c r="H8" s="12" t="s">
        <v>127</v>
      </c>
      <c r="I8" s="12" t="s">
        <v>128</v>
      </c>
      <c r="J8" s="12" t="s">
        <v>129</v>
      </c>
    </row>
    <row r="9" customFormat="false" ht="15" hidden="false" customHeight="false" outlineLevel="0" collapsed="false">
      <c r="A9" s="9" t="s">
        <v>105</v>
      </c>
      <c r="B9" s="10" t="n">
        <v>5</v>
      </c>
      <c r="C9" s="9" t="s">
        <v>130</v>
      </c>
      <c r="D9" s="9" t="s">
        <v>131</v>
      </c>
      <c r="E9" s="9"/>
      <c r="F9" s="10" t="s">
        <v>109</v>
      </c>
      <c r="G9" s="9" t="s">
        <v>132</v>
      </c>
      <c r="H9" s="9" t="s">
        <v>133</v>
      </c>
      <c r="I9" s="9" t="s">
        <v>134</v>
      </c>
      <c r="J9" s="9" t="s">
        <v>135</v>
      </c>
    </row>
    <row r="10" customFormat="false" ht="15" hidden="false" customHeight="false" outlineLevel="0" collapsed="false">
      <c r="A10" s="12" t="s">
        <v>136</v>
      </c>
      <c r="B10" s="13" t="n">
        <v>1</v>
      </c>
      <c r="C10" s="12" t="s">
        <v>137</v>
      </c>
      <c r="D10" s="12" t="s">
        <v>107</v>
      </c>
      <c r="E10" s="20" t="s">
        <v>108</v>
      </c>
      <c r="F10" s="13" t="s">
        <v>109</v>
      </c>
      <c r="G10" s="12" t="s">
        <v>138</v>
      </c>
      <c r="H10" s="12" t="s">
        <v>139</v>
      </c>
      <c r="I10" s="12" t="s">
        <v>112</v>
      </c>
      <c r="J10" s="12" t="s">
        <v>140</v>
      </c>
    </row>
    <row r="11" customFormat="false" ht="15" hidden="false" customHeight="false" outlineLevel="0" collapsed="false">
      <c r="A11" s="9" t="s">
        <v>136</v>
      </c>
      <c r="B11" s="10" t="n">
        <v>2</v>
      </c>
      <c r="C11" s="9" t="s">
        <v>141</v>
      </c>
      <c r="D11" s="9" t="s">
        <v>119</v>
      </c>
      <c r="E11" s="9"/>
      <c r="F11" s="10" t="s">
        <v>109</v>
      </c>
      <c r="G11" s="9" t="s">
        <v>142</v>
      </c>
      <c r="H11" s="9" t="s">
        <v>143</v>
      </c>
      <c r="I11" s="9" t="s">
        <v>144</v>
      </c>
      <c r="J11" s="9" t="s">
        <v>145</v>
      </c>
    </row>
    <row r="12" customFormat="false" ht="15" hidden="false" customHeight="false" outlineLevel="0" collapsed="false">
      <c r="A12" s="12" t="s">
        <v>136</v>
      </c>
      <c r="B12" s="13" t="n">
        <v>3</v>
      </c>
      <c r="C12" s="12" t="s">
        <v>146</v>
      </c>
      <c r="D12" s="12" t="s">
        <v>125</v>
      </c>
      <c r="E12" s="12"/>
      <c r="F12" s="13" t="s">
        <v>109</v>
      </c>
      <c r="G12" s="12" t="s">
        <v>147</v>
      </c>
      <c r="H12" s="12" t="s">
        <v>148</v>
      </c>
      <c r="I12" s="12" t="s">
        <v>128</v>
      </c>
      <c r="J12" s="12" t="s">
        <v>145</v>
      </c>
    </row>
    <row r="13" customFormat="false" ht="15" hidden="false" customHeight="false" outlineLevel="0" collapsed="false">
      <c r="A13" s="9" t="s">
        <v>136</v>
      </c>
      <c r="B13" s="10" t="n">
        <v>4</v>
      </c>
      <c r="C13" s="9" t="s">
        <v>149</v>
      </c>
      <c r="D13" s="9" t="s">
        <v>131</v>
      </c>
      <c r="E13" s="9"/>
      <c r="F13" s="10" t="s">
        <v>109</v>
      </c>
      <c r="G13" s="9" t="s">
        <v>150</v>
      </c>
      <c r="H13" s="9" t="s">
        <v>151</v>
      </c>
      <c r="I13" s="9" t="s">
        <v>134</v>
      </c>
      <c r="J13" s="9" t="s">
        <v>145</v>
      </c>
    </row>
    <row r="14" customFormat="false" ht="23.85" hidden="false" customHeight="false" outlineLevel="0" collapsed="false">
      <c r="A14" s="12" t="s">
        <v>152</v>
      </c>
      <c r="B14" s="13" t="n">
        <v>1</v>
      </c>
      <c r="C14" s="12" t="s">
        <v>153</v>
      </c>
      <c r="D14" s="12" t="s">
        <v>154</v>
      </c>
      <c r="E14" s="20" t="s">
        <v>108</v>
      </c>
      <c r="F14" s="13" t="s">
        <v>109</v>
      </c>
      <c r="G14" s="12" t="s">
        <v>155</v>
      </c>
      <c r="H14" s="12" t="s">
        <v>156</v>
      </c>
      <c r="I14" s="12" t="s">
        <v>157</v>
      </c>
      <c r="J14" s="12" t="s">
        <v>158</v>
      </c>
    </row>
    <row r="15" customFormat="false" ht="23.85" hidden="false" customHeight="false" outlineLevel="0" collapsed="false">
      <c r="A15" s="9" t="s">
        <v>152</v>
      </c>
      <c r="B15" s="10" t="n">
        <v>2</v>
      </c>
      <c r="C15" s="9" t="s">
        <v>159</v>
      </c>
      <c r="D15" s="9" t="s">
        <v>154</v>
      </c>
      <c r="E15" s="9"/>
      <c r="F15" s="10" t="s">
        <v>109</v>
      </c>
      <c r="G15" s="9" t="s">
        <v>160</v>
      </c>
      <c r="H15" s="9" t="s">
        <v>161</v>
      </c>
      <c r="I15" s="9" t="s">
        <v>112</v>
      </c>
      <c r="J15" s="9" t="s">
        <v>162</v>
      </c>
    </row>
    <row r="16" customFormat="false" ht="15" hidden="false" customHeight="false" outlineLevel="0" collapsed="false">
      <c r="A16" s="12" t="s">
        <v>163</v>
      </c>
      <c r="B16" s="13" t="n">
        <v>1</v>
      </c>
      <c r="C16" s="12" t="s">
        <v>164</v>
      </c>
      <c r="D16" s="12" t="s">
        <v>107</v>
      </c>
      <c r="E16" s="20" t="s">
        <v>108</v>
      </c>
      <c r="F16" s="13" t="s">
        <v>109</v>
      </c>
      <c r="G16" s="12" t="s">
        <v>165</v>
      </c>
      <c r="H16" s="12" t="s">
        <v>166</v>
      </c>
      <c r="I16" s="12" t="s">
        <v>112</v>
      </c>
      <c r="J16" s="12" t="s">
        <v>167</v>
      </c>
    </row>
    <row r="17" customFormat="false" ht="23.85" hidden="false" customHeight="false" outlineLevel="0" collapsed="false">
      <c r="A17" s="9" t="s">
        <v>163</v>
      </c>
      <c r="B17" s="10" t="n">
        <v>2</v>
      </c>
      <c r="C17" s="9" t="s">
        <v>153</v>
      </c>
      <c r="D17" s="9" t="s">
        <v>154</v>
      </c>
      <c r="E17" s="9"/>
      <c r="F17" s="10" t="s">
        <v>168</v>
      </c>
      <c r="G17" s="9" t="s">
        <v>169</v>
      </c>
      <c r="H17" s="9" t="s">
        <v>170</v>
      </c>
      <c r="I17" s="9" t="s">
        <v>171</v>
      </c>
      <c r="J17" s="9" t="s">
        <v>172</v>
      </c>
    </row>
    <row r="18" customFormat="false" ht="23.85" hidden="false" customHeight="false" outlineLevel="0" collapsed="false">
      <c r="A18" s="12" t="s">
        <v>163</v>
      </c>
      <c r="B18" s="13" t="n">
        <v>3</v>
      </c>
      <c r="C18" s="12" t="s">
        <v>173</v>
      </c>
      <c r="D18" s="12" t="s">
        <v>174</v>
      </c>
      <c r="E18" s="12"/>
      <c r="F18" s="13" t="s">
        <v>168</v>
      </c>
      <c r="G18" s="12" t="s">
        <v>175</v>
      </c>
      <c r="H18" s="12" t="s">
        <v>176</v>
      </c>
      <c r="I18" s="12" t="s">
        <v>177</v>
      </c>
      <c r="J18" s="12" t="s">
        <v>145</v>
      </c>
    </row>
    <row r="19" customFormat="false" ht="23.85" hidden="false" customHeight="false" outlineLevel="0" collapsed="false">
      <c r="A19" s="9" t="s">
        <v>163</v>
      </c>
      <c r="B19" s="10" t="n">
        <v>4</v>
      </c>
      <c r="C19" s="9" t="s">
        <v>178</v>
      </c>
      <c r="D19" s="9" t="s">
        <v>174</v>
      </c>
      <c r="E19" s="9"/>
      <c r="F19" s="10" t="s">
        <v>168</v>
      </c>
      <c r="G19" s="9" t="s">
        <v>179</v>
      </c>
      <c r="H19" s="9" t="s">
        <v>180</v>
      </c>
      <c r="I19" s="9" t="s">
        <v>177</v>
      </c>
      <c r="J19" s="9" t="s">
        <v>145</v>
      </c>
    </row>
    <row r="20" customFormat="false" ht="15" hidden="false" customHeight="false" outlineLevel="0" collapsed="false">
      <c r="A20" s="12" t="s">
        <v>163</v>
      </c>
      <c r="B20" s="13" t="n">
        <v>5</v>
      </c>
      <c r="C20" s="12" t="s">
        <v>181</v>
      </c>
      <c r="D20" s="12" t="s">
        <v>174</v>
      </c>
      <c r="E20" s="12"/>
      <c r="F20" s="13" t="s">
        <v>168</v>
      </c>
      <c r="G20" s="12" t="s">
        <v>182</v>
      </c>
      <c r="H20" s="12" t="s">
        <v>183</v>
      </c>
      <c r="I20" s="12" t="s">
        <v>177</v>
      </c>
      <c r="J20" s="12" t="s">
        <v>184</v>
      </c>
    </row>
    <row r="21" customFormat="false" ht="15" hidden="false" customHeight="false" outlineLevel="0" collapsed="false">
      <c r="A21" s="9" t="s">
        <v>163</v>
      </c>
      <c r="B21" s="10" t="n">
        <v>6</v>
      </c>
      <c r="C21" s="9" t="s">
        <v>185</v>
      </c>
      <c r="D21" s="9" t="s">
        <v>186</v>
      </c>
      <c r="E21" s="9"/>
      <c r="F21" s="10" t="s">
        <v>168</v>
      </c>
      <c r="G21" s="9" t="s">
        <v>187</v>
      </c>
      <c r="H21" s="9" t="s">
        <v>188</v>
      </c>
      <c r="I21" s="9" t="s">
        <v>177</v>
      </c>
      <c r="J21" s="9" t="s">
        <v>189</v>
      </c>
    </row>
    <row r="22" customFormat="false" ht="15" hidden="false" customHeight="false" outlineLevel="0" collapsed="false">
      <c r="A22" s="12" t="s">
        <v>163</v>
      </c>
      <c r="B22" s="13" t="n">
        <v>7</v>
      </c>
      <c r="C22" s="12" t="s">
        <v>190</v>
      </c>
      <c r="D22" s="12" t="s">
        <v>174</v>
      </c>
      <c r="E22" s="12"/>
      <c r="F22" s="13" t="s">
        <v>168</v>
      </c>
      <c r="G22" s="12" t="s">
        <v>191</v>
      </c>
      <c r="H22" s="12" t="s">
        <v>192</v>
      </c>
      <c r="I22" s="12" t="s">
        <v>177</v>
      </c>
      <c r="J22" s="12" t="s">
        <v>193</v>
      </c>
    </row>
    <row r="23" customFormat="false" ht="15" hidden="false" customHeight="false" outlineLevel="0" collapsed="false">
      <c r="A23" s="9" t="s">
        <v>163</v>
      </c>
      <c r="B23" s="10" t="n">
        <v>8</v>
      </c>
      <c r="C23" s="9" t="s">
        <v>194</v>
      </c>
      <c r="D23" s="9" t="s">
        <v>174</v>
      </c>
      <c r="E23" s="9"/>
      <c r="F23" s="10" t="s">
        <v>168</v>
      </c>
      <c r="G23" s="9" t="s">
        <v>195</v>
      </c>
      <c r="H23" s="9" t="s">
        <v>196</v>
      </c>
      <c r="I23" s="9" t="s">
        <v>177</v>
      </c>
      <c r="J23" s="9" t="s">
        <v>197</v>
      </c>
    </row>
    <row r="24" customFormat="false" ht="15" hidden="false" customHeight="false" outlineLevel="0" collapsed="false">
      <c r="A24" s="12" t="s">
        <v>163</v>
      </c>
      <c r="B24" s="13" t="n">
        <v>9</v>
      </c>
      <c r="C24" s="12" t="s">
        <v>198</v>
      </c>
      <c r="D24" s="12" t="s">
        <v>174</v>
      </c>
      <c r="E24" s="12"/>
      <c r="F24" s="13" t="s">
        <v>168</v>
      </c>
      <c r="G24" s="12" t="s">
        <v>199</v>
      </c>
      <c r="H24" s="12" t="s">
        <v>200</v>
      </c>
      <c r="I24" s="12" t="s">
        <v>177</v>
      </c>
      <c r="J24" s="12" t="s">
        <v>201</v>
      </c>
    </row>
    <row r="25" customFormat="false" ht="15" hidden="false" customHeight="false" outlineLevel="0" collapsed="false">
      <c r="A25" s="9" t="s">
        <v>202</v>
      </c>
      <c r="B25" s="10" t="n">
        <v>1</v>
      </c>
      <c r="C25" s="9" t="s">
        <v>203</v>
      </c>
      <c r="D25" s="9" t="s">
        <v>107</v>
      </c>
      <c r="E25" s="20" t="s">
        <v>108</v>
      </c>
      <c r="F25" s="10" t="s">
        <v>109</v>
      </c>
      <c r="G25" s="9" t="s">
        <v>204</v>
      </c>
      <c r="H25" s="9" t="s">
        <v>205</v>
      </c>
      <c r="I25" s="9" t="s">
        <v>112</v>
      </c>
      <c r="J25" s="9" t="s">
        <v>206</v>
      </c>
    </row>
    <row r="26" customFormat="false" ht="15" hidden="false" customHeight="false" outlineLevel="0" collapsed="false">
      <c r="A26" s="12" t="s">
        <v>202</v>
      </c>
      <c r="B26" s="13" t="n">
        <v>2</v>
      </c>
      <c r="C26" s="12" t="s">
        <v>106</v>
      </c>
      <c r="D26" s="12" t="s">
        <v>107</v>
      </c>
      <c r="E26" s="12" t="s">
        <v>207</v>
      </c>
      <c r="F26" s="13" t="s">
        <v>109</v>
      </c>
      <c r="G26" s="12" t="s">
        <v>208</v>
      </c>
      <c r="H26" s="12" t="s">
        <v>209</v>
      </c>
      <c r="I26" s="12" t="s">
        <v>210</v>
      </c>
      <c r="J26" s="12" t="s">
        <v>211</v>
      </c>
    </row>
    <row r="27" customFormat="false" ht="15" hidden="false" customHeight="false" outlineLevel="0" collapsed="false">
      <c r="A27" s="9" t="s">
        <v>202</v>
      </c>
      <c r="B27" s="10" t="n">
        <v>3</v>
      </c>
      <c r="C27" s="9" t="s">
        <v>212</v>
      </c>
      <c r="D27" s="9" t="s">
        <v>213</v>
      </c>
      <c r="E27" s="9"/>
      <c r="F27" s="10" t="s">
        <v>109</v>
      </c>
      <c r="G27" s="9" t="s">
        <v>214</v>
      </c>
      <c r="H27" s="9" t="s">
        <v>215</v>
      </c>
      <c r="I27" s="9" t="s">
        <v>216</v>
      </c>
      <c r="J27" s="9" t="s">
        <v>217</v>
      </c>
    </row>
    <row r="28" customFormat="false" ht="23.85" hidden="false" customHeight="false" outlineLevel="0" collapsed="false">
      <c r="A28" s="12" t="s">
        <v>202</v>
      </c>
      <c r="B28" s="13" t="n">
        <v>4</v>
      </c>
      <c r="C28" s="12" t="s">
        <v>218</v>
      </c>
      <c r="D28" s="12" t="s">
        <v>219</v>
      </c>
      <c r="E28" s="12" t="s">
        <v>220</v>
      </c>
      <c r="F28" s="13" t="s">
        <v>109</v>
      </c>
      <c r="G28" s="12" t="s">
        <v>221</v>
      </c>
      <c r="H28" s="12" t="s">
        <v>222</v>
      </c>
      <c r="I28" s="12" t="s">
        <v>223</v>
      </c>
      <c r="J28" s="12" t="s">
        <v>224</v>
      </c>
    </row>
    <row r="29" customFormat="false" ht="15" hidden="false" customHeight="false" outlineLevel="0" collapsed="false">
      <c r="A29" s="9" t="s">
        <v>202</v>
      </c>
      <c r="B29" s="10" t="n">
        <v>5</v>
      </c>
      <c r="C29" s="9" t="s">
        <v>225</v>
      </c>
      <c r="D29" s="9" t="s">
        <v>219</v>
      </c>
      <c r="E29" s="9"/>
      <c r="F29" s="10" t="s">
        <v>168</v>
      </c>
      <c r="G29" s="9" t="s">
        <v>226</v>
      </c>
      <c r="H29" s="9" t="s">
        <v>227</v>
      </c>
      <c r="I29" s="9" t="s">
        <v>171</v>
      </c>
      <c r="J29" s="9" t="s">
        <v>145</v>
      </c>
    </row>
    <row r="30" customFormat="false" ht="23.85" hidden="false" customHeight="false" outlineLevel="0" collapsed="false">
      <c r="A30" s="12" t="s">
        <v>202</v>
      </c>
      <c r="B30" s="13" t="n">
        <v>6</v>
      </c>
      <c r="C30" s="12" t="s">
        <v>228</v>
      </c>
      <c r="D30" s="12" t="s">
        <v>219</v>
      </c>
      <c r="E30" s="12"/>
      <c r="F30" s="13" t="s">
        <v>168</v>
      </c>
      <c r="G30" s="12" t="s">
        <v>229</v>
      </c>
      <c r="H30" s="12" t="s">
        <v>230</v>
      </c>
      <c r="I30" s="12" t="s">
        <v>171</v>
      </c>
      <c r="J30" s="12" t="s">
        <v>145</v>
      </c>
    </row>
    <row r="31" customFormat="false" ht="23.85" hidden="false" customHeight="false" outlineLevel="0" collapsed="false">
      <c r="A31" s="9" t="s">
        <v>202</v>
      </c>
      <c r="B31" s="10" t="n">
        <v>7</v>
      </c>
      <c r="C31" s="9" t="s">
        <v>231</v>
      </c>
      <c r="D31" s="9" t="s">
        <v>219</v>
      </c>
      <c r="E31" s="9"/>
      <c r="F31" s="10" t="s">
        <v>168</v>
      </c>
      <c r="G31" s="9" t="s">
        <v>232</v>
      </c>
      <c r="H31" s="9" t="s">
        <v>233</v>
      </c>
      <c r="I31" s="9" t="s">
        <v>171</v>
      </c>
      <c r="J31" s="9" t="s">
        <v>234</v>
      </c>
    </row>
    <row r="32" customFormat="false" ht="23.85" hidden="false" customHeight="false" outlineLevel="0" collapsed="false">
      <c r="A32" s="12" t="s">
        <v>202</v>
      </c>
      <c r="B32" s="13" t="n">
        <v>8</v>
      </c>
      <c r="C32" s="12" t="s">
        <v>235</v>
      </c>
      <c r="D32" s="12" t="s">
        <v>219</v>
      </c>
      <c r="E32" s="12"/>
      <c r="F32" s="13" t="s">
        <v>109</v>
      </c>
      <c r="G32" s="12" t="s">
        <v>236</v>
      </c>
      <c r="H32" s="12" t="s">
        <v>237</v>
      </c>
      <c r="I32" s="12" t="s">
        <v>238</v>
      </c>
      <c r="J32" s="12" t="s">
        <v>239</v>
      </c>
    </row>
    <row r="33" customFormat="false" ht="15" hidden="false" customHeight="false" outlineLevel="0" collapsed="false">
      <c r="A33" s="9" t="s">
        <v>202</v>
      </c>
      <c r="B33" s="10" t="n">
        <v>9</v>
      </c>
      <c r="C33" s="9" t="s">
        <v>240</v>
      </c>
      <c r="D33" s="9" t="s">
        <v>241</v>
      </c>
      <c r="E33" s="9"/>
      <c r="F33" s="10" t="s">
        <v>109</v>
      </c>
      <c r="G33" s="9" t="s">
        <v>242</v>
      </c>
      <c r="H33" s="9" t="s">
        <v>243</v>
      </c>
      <c r="I33" s="9" t="s">
        <v>244</v>
      </c>
      <c r="J33" s="9" t="s">
        <v>145</v>
      </c>
    </row>
    <row r="34" customFormat="false" ht="15" hidden="false" customHeight="false" outlineLevel="0" collapsed="false">
      <c r="A34" s="12" t="s">
        <v>245</v>
      </c>
      <c r="B34" s="13" t="n">
        <v>1</v>
      </c>
      <c r="C34" s="12" t="s">
        <v>203</v>
      </c>
      <c r="D34" s="12" t="s">
        <v>107</v>
      </c>
      <c r="E34" s="20" t="s">
        <v>246</v>
      </c>
      <c r="F34" s="13" t="s">
        <v>109</v>
      </c>
      <c r="G34" s="12" t="s">
        <v>247</v>
      </c>
      <c r="H34" s="12" t="s">
        <v>248</v>
      </c>
      <c r="I34" s="12" t="s">
        <v>249</v>
      </c>
      <c r="J34" s="12" t="s">
        <v>206</v>
      </c>
    </row>
    <row r="35" customFormat="false" ht="23.85" hidden="false" customHeight="false" outlineLevel="0" collapsed="false">
      <c r="A35" s="9" t="s">
        <v>245</v>
      </c>
      <c r="B35" s="10" t="n">
        <v>2</v>
      </c>
      <c r="C35" s="9" t="s">
        <v>250</v>
      </c>
      <c r="D35" s="9" t="s">
        <v>174</v>
      </c>
      <c r="E35" s="20" t="s">
        <v>251</v>
      </c>
      <c r="F35" s="10" t="s">
        <v>109</v>
      </c>
      <c r="G35" s="9" t="s">
        <v>252</v>
      </c>
      <c r="H35" s="9" t="s">
        <v>253</v>
      </c>
      <c r="I35" s="9" t="s">
        <v>254</v>
      </c>
      <c r="J35" s="9" t="s">
        <v>255</v>
      </c>
    </row>
    <row r="36" customFormat="false" ht="15" hidden="false" customHeight="false" outlineLevel="0" collapsed="false">
      <c r="A36" s="12" t="s">
        <v>245</v>
      </c>
      <c r="B36" s="13" t="n">
        <v>3</v>
      </c>
      <c r="C36" s="12" t="s">
        <v>164</v>
      </c>
      <c r="D36" s="12" t="s">
        <v>107</v>
      </c>
      <c r="E36" s="12" t="s">
        <v>256</v>
      </c>
      <c r="F36" s="13" t="s">
        <v>109</v>
      </c>
      <c r="G36" s="12" t="s">
        <v>257</v>
      </c>
      <c r="H36" s="12" t="s">
        <v>258</v>
      </c>
      <c r="I36" s="12" t="s">
        <v>259</v>
      </c>
      <c r="J36" s="12" t="s">
        <v>260</v>
      </c>
    </row>
    <row r="37" customFormat="false" ht="15" hidden="false" customHeight="false" outlineLevel="0" collapsed="false">
      <c r="A37" s="9" t="s">
        <v>245</v>
      </c>
      <c r="B37" s="10" t="n">
        <v>4</v>
      </c>
      <c r="C37" s="9" t="s">
        <v>137</v>
      </c>
      <c r="D37" s="9" t="s">
        <v>107</v>
      </c>
      <c r="E37" s="9" t="s">
        <v>261</v>
      </c>
      <c r="F37" s="10" t="s">
        <v>109</v>
      </c>
      <c r="G37" s="9" t="s">
        <v>262</v>
      </c>
      <c r="H37" s="9" t="s">
        <v>263</v>
      </c>
      <c r="I37" s="9" t="s">
        <v>264</v>
      </c>
      <c r="J37" s="9" t="s">
        <v>140</v>
      </c>
    </row>
    <row r="38" customFormat="false" ht="23.85" hidden="false" customHeight="false" outlineLevel="0" collapsed="false">
      <c r="A38" s="12" t="s">
        <v>245</v>
      </c>
      <c r="B38" s="13" t="n">
        <v>5</v>
      </c>
      <c r="C38" s="12" t="s">
        <v>265</v>
      </c>
      <c r="D38" s="12" t="s">
        <v>219</v>
      </c>
      <c r="E38" s="12"/>
      <c r="F38" s="13" t="s">
        <v>109</v>
      </c>
      <c r="G38" s="12" t="s">
        <v>266</v>
      </c>
      <c r="H38" s="12" t="s">
        <v>267</v>
      </c>
      <c r="I38" s="12" t="s">
        <v>238</v>
      </c>
      <c r="J38" s="12" t="s">
        <v>145</v>
      </c>
    </row>
    <row r="39" customFormat="false" ht="15" hidden="false" customHeight="false" outlineLevel="0" collapsed="false">
      <c r="A39" s="9" t="s">
        <v>245</v>
      </c>
      <c r="B39" s="10" t="n">
        <v>6</v>
      </c>
      <c r="C39" s="9" t="s">
        <v>268</v>
      </c>
      <c r="D39" s="9" t="s">
        <v>269</v>
      </c>
      <c r="E39" s="9"/>
      <c r="F39" s="10" t="s">
        <v>109</v>
      </c>
      <c r="G39" s="9" t="s">
        <v>270</v>
      </c>
      <c r="H39" s="9" t="s">
        <v>271</v>
      </c>
      <c r="I39" s="9" t="s">
        <v>272</v>
      </c>
      <c r="J39" s="9" t="s">
        <v>273</v>
      </c>
    </row>
    <row r="40" customFormat="false" ht="15" hidden="false" customHeight="false" outlineLevel="0" collapsed="false">
      <c r="A40" s="12" t="s">
        <v>245</v>
      </c>
      <c r="B40" s="13" t="n">
        <v>7</v>
      </c>
      <c r="C40" s="12" t="s">
        <v>274</v>
      </c>
      <c r="D40" s="12" t="s">
        <v>269</v>
      </c>
      <c r="E40" s="12"/>
      <c r="F40" s="13" t="s">
        <v>109</v>
      </c>
      <c r="G40" s="12" t="s">
        <v>275</v>
      </c>
      <c r="H40" s="12" t="s">
        <v>276</v>
      </c>
      <c r="I40" s="12" t="s">
        <v>277</v>
      </c>
      <c r="J40" s="12" t="s">
        <v>278</v>
      </c>
    </row>
    <row r="41" customFormat="false" ht="23.85" hidden="false" customHeight="false" outlineLevel="0" collapsed="false">
      <c r="A41" s="9" t="s">
        <v>279</v>
      </c>
      <c r="B41" s="10" t="n">
        <v>1</v>
      </c>
      <c r="C41" s="9" t="s">
        <v>203</v>
      </c>
      <c r="D41" s="9" t="s">
        <v>107</v>
      </c>
      <c r="E41" s="20" t="s">
        <v>246</v>
      </c>
      <c r="F41" s="10" t="s">
        <v>109</v>
      </c>
      <c r="G41" s="9" t="s">
        <v>280</v>
      </c>
      <c r="H41" s="9" t="s">
        <v>281</v>
      </c>
      <c r="I41" s="9" t="s">
        <v>282</v>
      </c>
      <c r="J41" s="9" t="s">
        <v>145</v>
      </c>
    </row>
    <row r="42" customFormat="false" ht="23.85" hidden="false" customHeight="false" outlineLevel="0" collapsed="false">
      <c r="A42" s="12" t="s">
        <v>279</v>
      </c>
      <c r="B42" s="13" t="n">
        <v>2</v>
      </c>
      <c r="C42" s="12" t="s">
        <v>283</v>
      </c>
      <c r="D42" s="12" t="s">
        <v>174</v>
      </c>
      <c r="E42" s="20" t="s">
        <v>251</v>
      </c>
      <c r="F42" s="13" t="s">
        <v>109</v>
      </c>
      <c r="G42" s="12" t="s">
        <v>284</v>
      </c>
      <c r="H42" s="12" t="s">
        <v>285</v>
      </c>
      <c r="I42" s="12" t="s">
        <v>254</v>
      </c>
      <c r="J42" s="12" t="s">
        <v>145</v>
      </c>
    </row>
    <row r="43" customFormat="false" ht="15" hidden="false" customHeight="false" outlineLevel="0" collapsed="false">
      <c r="A43" s="9" t="s">
        <v>279</v>
      </c>
      <c r="B43" s="10" t="n">
        <v>3</v>
      </c>
      <c r="C43" s="9" t="s">
        <v>286</v>
      </c>
      <c r="D43" s="9" t="s">
        <v>213</v>
      </c>
      <c r="E43" s="9"/>
      <c r="F43" s="10" t="s">
        <v>109</v>
      </c>
      <c r="G43" s="9" t="s">
        <v>287</v>
      </c>
      <c r="H43" s="9" t="s">
        <v>288</v>
      </c>
      <c r="I43" s="9" t="s">
        <v>289</v>
      </c>
      <c r="J43" s="9" t="s">
        <v>145</v>
      </c>
    </row>
    <row r="44" customFormat="false" ht="23.85" hidden="false" customHeight="false" outlineLevel="0" collapsed="false">
      <c r="A44" s="12" t="s">
        <v>279</v>
      </c>
      <c r="B44" s="13" t="n">
        <v>4</v>
      </c>
      <c r="C44" s="12" t="s">
        <v>290</v>
      </c>
      <c r="D44" s="12" t="s">
        <v>174</v>
      </c>
      <c r="E44" s="12"/>
      <c r="F44" s="13" t="s">
        <v>109</v>
      </c>
      <c r="G44" s="12" t="s">
        <v>291</v>
      </c>
      <c r="H44" s="12" t="s">
        <v>292</v>
      </c>
      <c r="I44" s="12" t="s">
        <v>293</v>
      </c>
      <c r="J44" s="12" t="s">
        <v>145</v>
      </c>
    </row>
    <row r="45" customFormat="false" ht="23.85" hidden="false" customHeight="false" outlineLevel="0" collapsed="false">
      <c r="A45" s="9" t="s">
        <v>279</v>
      </c>
      <c r="B45" s="10" t="n">
        <v>5</v>
      </c>
      <c r="C45" s="9" t="s">
        <v>294</v>
      </c>
      <c r="D45" s="9" t="s">
        <v>269</v>
      </c>
      <c r="E45" s="9"/>
      <c r="F45" s="10" t="s">
        <v>109</v>
      </c>
      <c r="G45" s="9" t="s">
        <v>295</v>
      </c>
      <c r="H45" s="9" t="s">
        <v>296</v>
      </c>
      <c r="I45" s="9" t="s">
        <v>277</v>
      </c>
      <c r="J45" s="9" t="s">
        <v>297</v>
      </c>
    </row>
    <row r="46" customFormat="false" ht="15" hidden="false" customHeight="false" outlineLevel="0" collapsed="false">
      <c r="A46" s="12" t="s">
        <v>298</v>
      </c>
      <c r="B46" s="13" t="n">
        <v>1</v>
      </c>
      <c r="C46" s="12" t="s">
        <v>299</v>
      </c>
      <c r="D46" s="12" t="s">
        <v>107</v>
      </c>
      <c r="E46" s="20" t="s">
        <v>300</v>
      </c>
      <c r="F46" s="13" t="s">
        <v>109</v>
      </c>
      <c r="G46" s="12" t="s">
        <v>301</v>
      </c>
      <c r="H46" s="12" t="s">
        <v>302</v>
      </c>
      <c r="I46" s="12" t="s">
        <v>112</v>
      </c>
      <c r="J46" s="12" t="s">
        <v>145</v>
      </c>
    </row>
    <row r="47" customFormat="false" ht="15" hidden="false" customHeight="false" outlineLevel="0" collapsed="false">
      <c r="A47" s="9" t="s">
        <v>298</v>
      </c>
      <c r="B47" s="10" t="n">
        <v>2</v>
      </c>
      <c r="C47" s="9" t="s">
        <v>203</v>
      </c>
      <c r="D47" s="9" t="s">
        <v>107</v>
      </c>
      <c r="E47" s="20" t="s">
        <v>303</v>
      </c>
      <c r="F47" s="10" t="s">
        <v>109</v>
      </c>
      <c r="G47" s="9" t="s">
        <v>304</v>
      </c>
      <c r="H47" s="9" t="s">
        <v>305</v>
      </c>
      <c r="I47" s="9" t="s">
        <v>306</v>
      </c>
      <c r="J47" s="9" t="s">
        <v>307</v>
      </c>
    </row>
    <row r="48" customFormat="false" ht="15" hidden="false" customHeight="false" outlineLevel="0" collapsed="false">
      <c r="A48" s="12" t="s">
        <v>298</v>
      </c>
      <c r="B48" s="13" t="n">
        <v>3</v>
      </c>
      <c r="C48" s="12" t="s">
        <v>308</v>
      </c>
      <c r="D48" s="12" t="s">
        <v>309</v>
      </c>
      <c r="E48" s="12"/>
      <c r="F48" s="13" t="s">
        <v>109</v>
      </c>
      <c r="G48" s="12" t="s">
        <v>310</v>
      </c>
      <c r="H48" s="12" t="s">
        <v>311</v>
      </c>
      <c r="I48" s="12" t="s">
        <v>312</v>
      </c>
      <c r="J48" s="12" t="s">
        <v>313</v>
      </c>
    </row>
    <row r="49" customFormat="false" ht="23.85" hidden="false" customHeight="false" outlineLevel="0" collapsed="false">
      <c r="A49" s="9" t="s">
        <v>298</v>
      </c>
      <c r="B49" s="10" t="n">
        <v>4</v>
      </c>
      <c r="C49" s="9" t="s">
        <v>314</v>
      </c>
      <c r="D49" s="9" t="s">
        <v>125</v>
      </c>
      <c r="E49" s="9"/>
      <c r="F49" s="10" t="s">
        <v>168</v>
      </c>
      <c r="G49" s="9" t="s">
        <v>315</v>
      </c>
      <c r="H49" s="9" t="s">
        <v>316</v>
      </c>
      <c r="I49" s="9" t="s">
        <v>171</v>
      </c>
      <c r="J49" s="9" t="s">
        <v>145</v>
      </c>
    </row>
    <row r="50" customFormat="false" ht="23.85" hidden="false" customHeight="false" outlineLevel="0" collapsed="false">
      <c r="A50" s="12" t="s">
        <v>298</v>
      </c>
      <c r="B50" s="13" t="n">
        <v>5</v>
      </c>
      <c r="C50" s="12" t="s">
        <v>317</v>
      </c>
      <c r="D50" s="12" t="s">
        <v>318</v>
      </c>
      <c r="E50" s="12"/>
      <c r="F50" s="13" t="s">
        <v>168</v>
      </c>
      <c r="G50" s="12" t="s">
        <v>319</v>
      </c>
      <c r="H50" s="12" t="s">
        <v>320</v>
      </c>
      <c r="I50" s="12" t="s">
        <v>171</v>
      </c>
      <c r="J50" s="12" t="s">
        <v>145</v>
      </c>
    </row>
    <row r="51" customFormat="false" ht="23.85" hidden="false" customHeight="false" outlineLevel="0" collapsed="false">
      <c r="A51" s="9" t="s">
        <v>298</v>
      </c>
      <c r="B51" s="10" t="n">
        <v>6</v>
      </c>
      <c r="C51" s="9" t="s">
        <v>321</v>
      </c>
      <c r="D51" s="9" t="s">
        <v>219</v>
      </c>
      <c r="E51" s="9"/>
      <c r="F51" s="10" t="s">
        <v>109</v>
      </c>
      <c r="G51" s="9" t="s">
        <v>322</v>
      </c>
      <c r="H51" s="9" t="s">
        <v>323</v>
      </c>
      <c r="I51" s="9" t="s">
        <v>238</v>
      </c>
      <c r="J51" s="9" t="s">
        <v>145</v>
      </c>
    </row>
    <row r="52" customFormat="false" ht="23.85" hidden="false" customHeight="false" outlineLevel="0" collapsed="false">
      <c r="A52" s="12" t="s">
        <v>298</v>
      </c>
      <c r="B52" s="13" t="n">
        <v>7</v>
      </c>
      <c r="C52" s="12" t="s">
        <v>324</v>
      </c>
      <c r="D52" s="12" t="s">
        <v>219</v>
      </c>
      <c r="E52" s="12"/>
      <c r="F52" s="13" t="s">
        <v>109</v>
      </c>
      <c r="G52" s="12" t="s">
        <v>325</v>
      </c>
      <c r="H52" s="12" t="s">
        <v>326</v>
      </c>
      <c r="I52" s="12" t="s">
        <v>238</v>
      </c>
      <c r="J52" s="12" t="s">
        <v>327</v>
      </c>
    </row>
    <row r="54" customFormat="false" ht="15" hidden="false" customHeight="false" outlineLevel="0" collapsed="false">
      <c r="A54" s="5" t="s">
        <v>328</v>
      </c>
    </row>
    <row r="55" customFormat="false" ht="27" hidden="false" customHeight="true" outlineLevel="0" collapsed="false">
      <c r="A55" s="4" t="s">
        <v>329</v>
      </c>
      <c r="B55" s="4"/>
      <c r="C55" s="4"/>
      <c r="D55" s="4"/>
      <c r="E55" s="4"/>
      <c r="F55" s="4"/>
      <c r="G55" s="4"/>
      <c r="H55" s="4"/>
      <c r="I55" s="4"/>
      <c r="J55" s="4"/>
    </row>
    <row r="56" customFormat="false" ht="27" hidden="false" customHeight="true" outlineLevel="0" collapsed="false">
      <c r="A56" s="4" t="s">
        <v>330</v>
      </c>
      <c r="B56" s="4"/>
      <c r="C56" s="4"/>
      <c r="D56" s="4"/>
      <c r="E56" s="4"/>
      <c r="F56" s="4"/>
      <c r="G56" s="4"/>
      <c r="H56" s="4"/>
      <c r="I56" s="4"/>
      <c r="J56" s="4"/>
    </row>
    <row r="57" customFormat="false" ht="27" hidden="false" customHeight="true" outlineLevel="0" collapsed="false">
      <c r="A57" s="4" t="s">
        <v>331</v>
      </c>
      <c r="B57" s="4"/>
      <c r="C57" s="4"/>
      <c r="D57" s="4"/>
      <c r="E57" s="4"/>
      <c r="F57" s="4"/>
      <c r="G57" s="4"/>
      <c r="H57" s="4"/>
      <c r="I57" s="4"/>
      <c r="J57" s="4"/>
    </row>
    <row r="58" customFormat="false" ht="27" hidden="false" customHeight="true" outlineLevel="0" collapsed="false">
      <c r="A58" s="4" t="s">
        <v>332</v>
      </c>
      <c r="B58" s="4"/>
      <c r="C58" s="4"/>
      <c r="D58" s="4"/>
      <c r="E58" s="4"/>
      <c r="F58" s="4"/>
      <c r="G58" s="4"/>
      <c r="H58" s="4"/>
      <c r="I58" s="4"/>
      <c r="J58" s="4"/>
    </row>
  </sheetData>
  <autoFilter ref="A4:J52"/>
  <mergeCells count="4">
    <mergeCell ref="A55:J55"/>
    <mergeCell ref="A56:J56"/>
    <mergeCell ref="A57:J57"/>
    <mergeCell ref="A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30"/>
    <col collapsed="false" customWidth="true" hidden="false" outlineLevel="0" max="8" min="8" style="0" width="36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2" t="s">
        <v>334</v>
      </c>
    </row>
    <row r="4" customFormat="false" ht="23.85" hidden="false" customHeight="false" outlineLevel="0" collapsed="false">
      <c r="A4" s="7" t="s">
        <v>96</v>
      </c>
      <c r="B4" s="7" t="s">
        <v>335</v>
      </c>
      <c r="C4" s="7" t="s">
        <v>336</v>
      </c>
      <c r="D4" s="7" t="s">
        <v>337</v>
      </c>
      <c r="E4" s="7" t="s">
        <v>338</v>
      </c>
      <c r="F4" s="7" t="s">
        <v>101</v>
      </c>
      <c r="G4" s="7" t="s">
        <v>339</v>
      </c>
      <c r="H4" s="7" t="s">
        <v>340</v>
      </c>
      <c r="I4" s="7" t="s">
        <v>104</v>
      </c>
    </row>
    <row r="5" customFormat="false" ht="15" hidden="false" customHeight="false" outlineLevel="0" collapsed="false">
      <c r="A5" s="10" t="n">
        <v>1</v>
      </c>
      <c r="B5" s="9" t="s">
        <v>341</v>
      </c>
      <c r="C5" s="9" t="s">
        <v>342</v>
      </c>
      <c r="D5" s="20" t="s">
        <v>343</v>
      </c>
      <c r="E5" s="10" t="s">
        <v>168</v>
      </c>
      <c r="F5" s="9" t="s">
        <v>344</v>
      </c>
      <c r="G5" s="9" t="s">
        <v>345</v>
      </c>
      <c r="H5" s="9" t="s">
        <v>346</v>
      </c>
      <c r="I5" s="9" t="s">
        <v>145</v>
      </c>
    </row>
    <row r="6" customFormat="false" ht="23.85" hidden="false" customHeight="false" outlineLevel="0" collapsed="false">
      <c r="A6" s="13" t="n">
        <v>2</v>
      </c>
      <c r="B6" s="12" t="s">
        <v>347</v>
      </c>
      <c r="C6" s="12" t="s">
        <v>348</v>
      </c>
      <c r="D6" s="12" t="s">
        <v>349</v>
      </c>
      <c r="E6" s="13" t="s">
        <v>168</v>
      </c>
      <c r="F6" s="12" t="s">
        <v>350</v>
      </c>
      <c r="G6" s="12" t="s">
        <v>351</v>
      </c>
      <c r="H6" s="12" t="s">
        <v>352</v>
      </c>
      <c r="I6" s="12" t="s">
        <v>167</v>
      </c>
    </row>
    <row r="7" customFormat="false" ht="23.85" hidden="false" customHeight="false" outlineLevel="0" collapsed="false">
      <c r="A7" s="10" t="n">
        <v>3</v>
      </c>
      <c r="B7" s="9" t="s">
        <v>353</v>
      </c>
      <c r="C7" s="9" t="s">
        <v>348</v>
      </c>
      <c r="D7" s="9"/>
      <c r="E7" s="10" t="s">
        <v>168</v>
      </c>
      <c r="F7" s="9" t="s">
        <v>354</v>
      </c>
      <c r="G7" s="9" t="s">
        <v>355</v>
      </c>
      <c r="H7" s="9" t="s">
        <v>356</v>
      </c>
      <c r="I7" s="9" t="s">
        <v>357</v>
      </c>
    </row>
    <row r="8" customFormat="false" ht="15" hidden="false" customHeight="false" outlineLevel="0" collapsed="false">
      <c r="A8" s="13" t="n">
        <v>4</v>
      </c>
      <c r="B8" s="12" t="s">
        <v>358</v>
      </c>
      <c r="C8" s="12" t="s">
        <v>348</v>
      </c>
      <c r="D8" s="12" t="s">
        <v>359</v>
      </c>
      <c r="E8" s="13" t="s">
        <v>109</v>
      </c>
      <c r="F8" s="12" t="s">
        <v>360</v>
      </c>
      <c r="G8" s="12" t="s">
        <v>361</v>
      </c>
      <c r="H8" s="12" t="s">
        <v>362</v>
      </c>
      <c r="I8" s="12" t="s">
        <v>363</v>
      </c>
    </row>
    <row r="9" customFormat="false" ht="23.85" hidden="false" customHeight="false" outlineLevel="0" collapsed="false">
      <c r="A9" s="10" t="n">
        <v>5</v>
      </c>
      <c r="B9" s="9" t="s">
        <v>364</v>
      </c>
      <c r="C9" s="9" t="s">
        <v>348</v>
      </c>
      <c r="D9" s="9"/>
      <c r="E9" s="10" t="s">
        <v>109</v>
      </c>
      <c r="F9" s="9" t="s">
        <v>365</v>
      </c>
      <c r="G9" s="9" t="s">
        <v>366</v>
      </c>
      <c r="H9" s="9" t="s">
        <v>367</v>
      </c>
      <c r="I9" s="9" t="s">
        <v>368</v>
      </c>
    </row>
    <row r="10" customFormat="false" ht="15" hidden="false" customHeight="false" outlineLevel="0" collapsed="false">
      <c r="A10" s="13" t="n">
        <v>6</v>
      </c>
      <c r="B10" s="12" t="s">
        <v>369</v>
      </c>
      <c r="C10" s="12" t="s">
        <v>348</v>
      </c>
      <c r="D10" s="12" t="s">
        <v>359</v>
      </c>
      <c r="E10" s="13" t="s">
        <v>168</v>
      </c>
      <c r="F10" s="12" t="s">
        <v>370</v>
      </c>
      <c r="G10" s="12" t="s">
        <v>371</v>
      </c>
      <c r="H10" s="12" t="s">
        <v>372</v>
      </c>
      <c r="I10" s="12" t="s">
        <v>162</v>
      </c>
    </row>
    <row r="11" customFormat="false" ht="23.85" hidden="false" customHeight="false" outlineLevel="0" collapsed="false">
      <c r="A11" s="10" t="n">
        <v>7</v>
      </c>
      <c r="B11" s="9" t="s">
        <v>373</v>
      </c>
      <c r="C11" s="9" t="s">
        <v>374</v>
      </c>
      <c r="D11" s="9"/>
      <c r="E11" s="10" t="s">
        <v>168</v>
      </c>
      <c r="F11" s="9" t="s">
        <v>375</v>
      </c>
      <c r="G11" s="9" t="s">
        <v>376</v>
      </c>
      <c r="H11" s="9" t="s">
        <v>377</v>
      </c>
      <c r="I11" s="9" t="s">
        <v>378</v>
      </c>
    </row>
    <row r="12" customFormat="false" ht="23.85" hidden="false" customHeight="false" outlineLevel="0" collapsed="false">
      <c r="A12" s="13" t="n">
        <v>8</v>
      </c>
      <c r="B12" s="12" t="s">
        <v>379</v>
      </c>
      <c r="C12" s="12" t="s">
        <v>374</v>
      </c>
      <c r="D12" s="12"/>
      <c r="E12" s="13" t="s">
        <v>109</v>
      </c>
      <c r="F12" s="12" t="s">
        <v>380</v>
      </c>
      <c r="G12" s="12" t="s">
        <v>381</v>
      </c>
      <c r="H12" s="12" t="s">
        <v>382</v>
      </c>
      <c r="I12" s="12" t="s">
        <v>383</v>
      </c>
    </row>
    <row r="13" customFormat="false" ht="15" hidden="false" customHeight="false" outlineLevel="0" collapsed="false">
      <c r="A13" s="10" t="n">
        <v>9</v>
      </c>
      <c r="B13" s="9" t="s">
        <v>384</v>
      </c>
      <c r="C13" s="9" t="s">
        <v>385</v>
      </c>
      <c r="D13" s="9"/>
      <c r="E13" s="10" t="s">
        <v>109</v>
      </c>
      <c r="F13" s="9" t="s">
        <v>386</v>
      </c>
      <c r="G13" s="9" t="s">
        <v>387</v>
      </c>
      <c r="H13" s="9" t="s">
        <v>388</v>
      </c>
      <c r="I13" s="9" t="s">
        <v>389</v>
      </c>
    </row>
    <row r="14" customFormat="false" ht="15" hidden="false" customHeight="false" outlineLevel="0" collapsed="false">
      <c r="A14" s="13" t="n">
        <v>10</v>
      </c>
      <c r="B14" s="12" t="s">
        <v>390</v>
      </c>
      <c r="C14" s="12" t="s">
        <v>348</v>
      </c>
      <c r="D14" s="12"/>
      <c r="E14" s="13" t="s">
        <v>168</v>
      </c>
      <c r="F14" s="12" t="s">
        <v>391</v>
      </c>
      <c r="G14" s="12" t="s">
        <v>392</v>
      </c>
      <c r="H14" s="12" t="s">
        <v>393</v>
      </c>
      <c r="I14" s="12" t="s">
        <v>394</v>
      </c>
    </row>
    <row r="15" customFormat="false" ht="15" hidden="false" customHeight="false" outlineLevel="0" collapsed="false">
      <c r="A15" s="10" t="n">
        <v>11</v>
      </c>
      <c r="B15" s="9" t="s">
        <v>395</v>
      </c>
      <c r="C15" s="9" t="s">
        <v>348</v>
      </c>
      <c r="D15" s="9"/>
      <c r="E15" s="10" t="s">
        <v>168</v>
      </c>
      <c r="F15" s="9" t="s">
        <v>396</v>
      </c>
      <c r="G15" s="9" t="s">
        <v>397</v>
      </c>
      <c r="H15" s="9" t="s">
        <v>398</v>
      </c>
      <c r="I15" s="9" t="s">
        <v>399</v>
      </c>
    </row>
    <row r="16" customFormat="false" ht="15" hidden="false" customHeight="false" outlineLevel="0" collapsed="false">
      <c r="A16" s="13" t="n">
        <v>12</v>
      </c>
      <c r="B16" s="12" t="s">
        <v>400</v>
      </c>
      <c r="C16" s="12" t="s">
        <v>385</v>
      </c>
      <c r="D16" s="12"/>
      <c r="E16" s="13" t="s">
        <v>109</v>
      </c>
      <c r="F16" s="12" t="s">
        <v>401</v>
      </c>
      <c r="G16" s="12" t="s">
        <v>402</v>
      </c>
      <c r="H16" s="12" t="s">
        <v>403</v>
      </c>
      <c r="I16" s="12" t="s">
        <v>404</v>
      </c>
    </row>
    <row r="17" customFormat="false" ht="35.05" hidden="false" customHeight="false" outlineLevel="0" collapsed="false">
      <c r="A17" s="10" t="n">
        <v>13</v>
      </c>
      <c r="B17" s="9" t="s">
        <v>405</v>
      </c>
      <c r="C17" s="9" t="s">
        <v>348</v>
      </c>
      <c r="D17" s="9"/>
      <c r="E17" s="10" t="s">
        <v>168</v>
      </c>
      <c r="F17" s="9" t="s">
        <v>406</v>
      </c>
      <c r="G17" s="9" t="s">
        <v>407</v>
      </c>
      <c r="H17" s="9" t="s">
        <v>408</v>
      </c>
      <c r="I17" s="9" t="s">
        <v>409</v>
      </c>
    </row>
    <row r="18" customFormat="false" ht="23.85" hidden="false" customHeight="false" outlineLevel="0" collapsed="false">
      <c r="A18" s="13" t="n">
        <v>14</v>
      </c>
      <c r="B18" s="12" t="s">
        <v>410</v>
      </c>
      <c r="C18" s="12" t="s">
        <v>411</v>
      </c>
      <c r="D18" s="12" t="s">
        <v>412</v>
      </c>
      <c r="E18" s="13" t="s">
        <v>168</v>
      </c>
      <c r="F18" s="12" t="s">
        <v>413</v>
      </c>
      <c r="G18" s="12" t="s">
        <v>414</v>
      </c>
      <c r="H18" s="12" t="s">
        <v>415</v>
      </c>
      <c r="I18" s="12" t="s">
        <v>416</v>
      </c>
    </row>
    <row r="19" customFormat="false" ht="23.85" hidden="false" customHeight="false" outlineLevel="0" collapsed="false">
      <c r="A19" s="10" t="n">
        <v>15</v>
      </c>
      <c r="B19" s="9" t="s">
        <v>417</v>
      </c>
      <c r="C19" s="9" t="s">
        <v>418</v>
      </c>
      <c r="D19" s="9"/>
      <c r="E19" s="10" t="s">
        <v>168</v>
      </c>
      <c r="F19" s="9" t="s">
        <v>419</v>
      </c>
      <c r="G19" s="9" t="s">
        <v>420</v>
      </c>
      <c r="H19" s="9" t="s">
        <v>421</v>
      </c>
      <c r="I19" s="9" t="s">
        <v>422</v>
      </c>
    </row>
    <row r="21" customFormat="false" ht="15" hidden="false" customHeight="false" outlineLevel="0" collapsed="false">
      <c r="A21" s="5" t="s">
        <v>328</v>
      </c>
    </row>
    <row r="22" customFormat="false" ht="27" hidden="false" customHeight="true" outlineLevel="0" collapsed="false">
      <c r="A22" s="4" t="s">
        <v>423</v>
      </c>
      <c r="B22" s="4"/>
      <c r="C22" s="4"/>
      <c r="D22" s="4"/>
      <c r="E22" s="4"/>
      <c r="F22" s="4"/>
      <c r="G22" s="4"/>
      <c r="H22" s="4"/>
      <c r="I22" s="4"/>
    </row>
    <row r="23" customFormat="false" ht="27" hidden="false" customHeight="true" outlineLevel="0" collapsed="false">
      <c r="A23" s="4" t="s">
        <v>424</v>
      </c>
      <c r="B23" s="4"/>
      <c r="C23" s="4"/>
      <c r="D23" s="4"/>
      <c r="E23" s="4"/>
      <c r="F23" s="4"/>
      <c r="G23" s="4"/>
      <c r="H23" s="4"/>
      <c r="I23" s="4"/>
    </row>
    <row r="24" customFormat="false" ht="27" hidden="false" customHeight="true" outlineLevel="0" collapsed="false">
      <c r="A24" s="4" t="s">
        <v>425</v>
      </c>
      <c r="B24" s="4"/>
      <c r="C24" s="4"/>
      <c r="D24" s="4"/>
      <c r="E24" s="4"/>
      <c r="F24" s="4"/>
      <c r="G24" s="4"/>
      <c r="H24" s="4"/>
      <c r="I24" s="4"/>
    </row>
    <row r="25" customFormat="false" ht="27" hidden="false" customHeight="true" outlineLevel="0" collapsed="false">
      <c r="A25" s="4" t="s">
        <v>426</v>
      </c>
      <c r="B25" s="4"/>
      <c r="C25" s="4"/>
      <c r="D25" s="4"/>
      <c r="E25" s="4"/>
      <c r="F25" s="4"/>
      <c r="G25" s="4"/>
      <c r="H25" s="4"/>
      <c r="I25" s="4"/>
    </row>
    <row r="26" customFormat="false" ht="27" hidden="false" customHeight="true" outlineLevel="0" collapsed="false">
      <c r="A26" s="4" t="s">
        <v>427</v>
      </c>
      <c r="B26" s="4"/>
      <c r="C26" s="4"/>
      <c r="D26" s="4"/>
      <c r="E26" s="4"/>
      <c r="F26" s="4"/>
      <c r="G26" s="4"/>
      <c r="H26" s="4"/>
      <c r="I26" s="4"/>
    </row>
  </sheetData>
  <autoFilter ref="A4:I19"/>
  <mergeCells count="5">
    <mergeCell ref="A22:I22"/>
    <mergeCell ref="A23:I23"/>
    <mergeCell ref="A24:I24"/>
    <mergeCell ref="A25:I25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428</v>
      </c>
    </row>
    <row r="2" customFormat="false" ht="15" hidden="false" customHeight="false" outlineLevel="0" collapsed="false">
      <c r="A2" s="2" t="s">
        <v>429</v>
      </c>
    </row>
    <row r="4" customFormat="false" ht="15" hidden="false" customHeight="false" outlineLevel="0" collapsed="false">
      <c r="A4" s="7" t="s">
        <v>430</v>
      </c>
      <c r="B4" s="7" t="s">
        <v>95</v>
      </c>
      <c r="C4" s="7" t="s">
        <v>65</v>
      </c>
      <c r="D4" s="7" t="s">
        <v>431</v>
      </c>
      <c r="E4" s="7" t="s">
        <v>432</v>
      </c>
      <c r="F4" s="7" t="s">
        <v>433</v>
      </c>
      <c r="G4" s="7" t="s">
        <v>434</v>
      </c>
      <c r="H4" s="7" t="s">
        <v>435</v>
      </c>
    </row>
    <row r="5" customFormat="false" ht="15" hidden="false" customHeight="false" outlineLevel="0" collapsed="false">
      <c r="A5" s="9" t="n">
        <v>1</v>
      </c>
      <c r="B5" s="9" t="s">
        <v>38</v>
      </c>
      <c r="C5" s="9" t="s">
        <v>436</v>
      </c>
      <c r="D5" s="9" t="s">
        <v>437</v>
      </c>
      <c r="E5" s="9" t="s">
        <v>438</v>
      </c>
      <c r="F5" s="9" t="s">
        <v>439</v>
      </c>
      <c r="G5" s="9" t="s">
        <v>440</v>
      </c>
      <c r="H5" s="9" t="s">
        <v>441</v>
      </c>
    </row>
    <row r="6" customFormat="false" ht="15" hidden="false" customHeight="false" outlineLevel="0" collapsed="false">
      <c r="A6" s="12" t="n">
        <v>2</v>
      </c>
      <c r="B6" s="12" t="s">
        <v>34</v>
      </c>
      <c r="C6" s="12" t="s">
        <v>436</v>
      </c>
      <c r="D6" s="12" t="s">
        <v>442</v>
      </c>
      <c r="E6" s="12" t="s">
        <v>443</v>
      </c>
      <c r="F6" s="12" t="s">
        <v>106</v>
      </c>
      <c r="G6" s="12" t="s">
        <v>444</v>
      </c>
      <c r="H6" s="12" t="s">
        <v>445</v>
      </c>
    </row>
    <row r="7" customFormat="false" ht="23.85" hidden="false" customHeight="false" outlineLevel="0" collapsed="false">
      <c r="A7" s="9" t="n">
        <v>3</v>
      </c>
      <c r="B7" s="9" t="s">
        <v>36</v>
      </c>
      <c r="C7" s="9" t="s">
        <v>436</v>
      </c>
      <c r="D7" s="9" t="s">
        <v>446</v>
      </c>
      <c r="E7" s="9" t="s">
        <v>447</v>
      </c>
      <c r="F7" s="9" t="s">
        <v>448</v>
      </c>
      <c r="G7" s="9" t="s">
        <v>449</v>
      </c>
      <c r="H7" s="9" t="s">
        <v>450</v>
      </c>
    </row>
    <row r="8" customFormat="false" ht="23.85" hidden="false" customHeight="false" outlineLevel="0" collapsed="false">
      <c r="A8" s="12" t="n">
        <v>4</v>
      </c>
      <c r="B8" s="12" t="s">
        <v>32</v>
      </c>
      <c r="C8" s="12" t="s">
        <v>451</v>
      </c>
      <c r="D8" s="12" t="s">
        <v>452</v>
      </c>
      <c r="E8" s="12" t="s">
        <v>453</v>
      </c>
      <c r="F8" s="12" t="s">
        <v>454</v>
      </c>
      <c r="G8" s="12" t="s">
        <v>455</v>
      </c>
      <c r="H8" s="12" t="s">
        <v>456</v>
      </c>
    </row>
    <row r="10" customFormat="false" ht="15" hidden="false" customHeight="false" outlineLevel="0" collapsed="false">
      <c r="A10" s="5" t="s">
        <v>457</v>
      </c>
    </row>
    <row r="11" customFormat="false" ht="15" hidden="false" customHeight="false" outlineLevel="0" collapsed="false">
      <c r="A11" s="7" t="s">
        <v>458</v>
      </c>
      <c r="B11" s="7" t="s">
        <v>459</v>
      </c>
      <c r="C11" s="7" t="s">
        <v>460</v>
      </c>
      <c r="D11" s="7" t="s">
        <v>461</v>
      </c>
    </row>
    <row r="12" customFormat="false" ht="23.85" hidden="false" customHeight="false" outlineLevel="0" collapsed="false">
      <c r="A12" s="9" t="s">
        <v>462</v>
      </c>
      <c r="B12" s="9" t="s">
        <v>463</v>
      </c>
      <c r="C12" s="9" t="s">
        <v>464</v>
      </c>
      <c r="D12" s="9" t="s">
        <v>465</v>
      </c>
    </row>
    <row r="13" customFormat="false" ht="23.85" hidden="false" customHeight="false" outlineLevel="0" collapsed="false">
      <c r="A13" s="12" t="s">
        <v>466</v>
      </c>
      <c r="B13" s="12" t="s">
        <v>467</v>
      </c>
      <c r="C13" s="12" t="s">
        <v>464</v>
      </c>
      <c r="D13" s="12" t="s">
        <v>468</v>
      </c>
    </row>
    <row r="14" customFormat="false" ht="35.05" hidden="false" customHeight="false" outlineLevel="0" collapsed="false">
      <c r="A14" s="9" t="s">
        <v>469</v>
      </c>
      <c r="B14" s="9" t="s">
        <v>470</v>
      </c>
      <c r="C14" s="9" t="s">
        <v>464</v>
      </c>
      <c r="D14" s="9" t="s">
        <v>471</v>
      </c>
    </row>
    <row r="16" customFormat="false" ht="15" hidden="false" customHeight="false" outlineLevel="0" collapsed="false">
      <c r="A16" s="5" t="s">
        <v>472</v>
      </c>
    </row>
    <row r="17" customFormat="false" ht="15" hidden="false" customHeight="false" outlineLevel="0" collapsed="false">
      <c r="A17" s="21" t="s">
        <v>473</v>
      </c>
    </row>
    <row r="18" customFormat="false" ht="15" hidden="false" customHeight="false" outlineLevel="0" collapsed="false">
      <c r="A18" s="21" t="s">
        <v>474</v>
      </c>
    </row>
    <row r="19" customFormat="false" ht="15" hidden="false" customHeight="false" outlineLevel="0" collapsed="false">
      <c r="A19" s="21" t="s">
        <v>475</v>
      </c>
    </row>
    <row r="20" customFormat="false" ht="15" hidden="false" customHeight="false" outlineLevel="0" collapsed="false">
      <c r="A20" s="21" t="s">
        <v>476</v>
      </c>
    </row>
    <row r="22" customFormat="false" ht="15" hidden="false" customHeight="false" outlineLevel="0" collapsed="false">
      <c r="A22" s="5" t="s">
        <v>477</v>
      </c>
    </row>
    <row r="23" customFormat="false" ht="15" hidden="false" customHeight="false" outlineLevel="0" collapsed="false">
      <c r="A23" s="7" t="s">
        <v>478</v>
      </c>
      <c r="B23" s="7" t="s">
        <v>479</v>
      </c>
    </row>
    <row r="24" customFormat="false" ht="35.05" hidden="false" customHeight="false" outlineLevel="0" collapsed="false">
      <c r="A24" s="9" t="s">
        <v>480</v>
      </c>
      <c r="B24" s="9" t="s">
        <v>481</v>
      </c>
    </row>
    <row r="25" customFormat="false" ht="35.05" hidden="false" customHeight="false" outlineLevel="0" collapsed="false">
      <c r="A25" s="12" t="s">
        <v>482</v>
      </c>
      <c r="B25" s="12" t="s">
        <v>483</v>
      </c>
    </row>
    <row r="26" customFormat="false" ht="46.25" hidden="false" customHeight="false" outlineLevel="0" collapsed="false">
      <c r="A26" s="9" t="s">
        <v>484</v>
      </c>
      <c r="B26" s="9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5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486</v>
      </c>
    </row>
    <row r="2" customFormat="false" ht="15" hidden="false" customHeight="false" outlineLevel="0" collapsed="false">
      <c r="A2" s="2" t="s">
        <v>487</v>
      </c>
    </row>
    <row r="4" customFormat="false" ht="15" hidden="false" customHeight="false" outlineLevel="0" collapsed="false">
      <c r="A4" s="7" t="s">
        <v>96</v>
      </c>
      <c r="B4" s="7" t="s">
        <v>97</v>
      </c>
      <c r="C4" s="7" t="s">
        <v>488</v>
      </c>
      <c r="D4" s="7" t="s">
        <v>99</v>
      </c>
      <c r="E4" s="7" t="s">
        <v>100</v>
      </c>
      <c r="F4" s="7" t="s">
        <v>101</v>
      </c>
      <c r="G4" s="7" t="s">
        <v>64</v>
      </c>
      <c r="H4" s="7" t="s">
        <v>489</v>
      </c>
      <c r="I4" s="7" t="s">
        <v>339</v>
      </c>
    </row>
    <row r="5" customFormat="false" ht="23.85" hidden="false" customHeight="false" outlineLevel="0" collapsed="false">
      <c r="A5" s="10" t="n">
        <v>1</v>
      </c>
      <c r="B5" s="9" t="s">
        <v>453</v>
      </c>
      <c r="C5" s="9" t="s">
        <v>490</v>
      </c>
      <c r="D5" s="20" t="s">
        <v>108</v>
      </c>
      <c r="E5" s="10" t="s">
        <v>109</v>
      </c>
      <c r="F5" s="9" t="s">
        <v>491</v>
      </c>
      <c r="G5" s="9" t="s">
        <v>492</v>
      </c>
      <c r="H5" s="9" t="s">
        <v>493</v>
      </c>
      <c r="I5" s="9" t="s">
        <v>494</v>
      </c>
    </row>
    <row r="6" customFormat="false" ht="15" hidden="false" customHeight="false" outlineLevel="0" collapsed="false">
      <c r="A6" s="13" t="n">
        <v>2</v>
      </c>
      <c r="B6" s="12" t="s">
        <v>203</v>
      </c>
      <c r="C6" s="12" t="s">
        <v>107</v>
      </c>
      <c r="D6" s="20" t="s">
        <v>495</v>
      </c>
      <c r="E6" s="13" t="s">
        <v>109</v>
      </c>
      <c r="F6" s="12" t="s">
        <v>496</v>
      </c>
      <c r="G6" s="12" t="s">
        <v>497</v>
      </c>
      <c r="H6" s="12" t="s">
        <v>112</v>
      </c>
      <c r="I6" s="12" t="s">
        <v>498</v>
      </c>
    </row>
    <row r="7" customFormat="false" ht="15" hidden="false" customHeight="false" outlineLevel="0" collapsed="false">
      <c r="A7" s="10" t="n">
        <v>3</v>
      </c>
      <c r="B7" s="9" t="s">
        <v>250</v>
      </c>
      <c r="C7" s="9" t="s">
        <v>174</v>
      </c>
      <c r="D7" s="20" t="s">
        <v>499</v>
      </c>
      <c r="E7" s="10" t="s">
        <v>109</v>
      </c>
      <c r="F7" s="9" t="s">
        <v>500</v>
      </c>
      <c r="G7" s="9" t="s">
        <v>501</v>
      </c>
      <c r="H7" s="9" t="s">
        <v>112</v>
      </c>
      <c r="I7" s="9" t="s">
        <v>494</v>
      </c>
    </row>
    <row r="8" customFormat="false" ht="15" hidden="false" customHeight="false" outlineLevel="0" collapsed="false">
      <c r="A8" s="13" t="n">
        <v>4</v>
      </c>
      <c r="B8" s="12" t="s">
        <v>438</v>
      </c>
      <c r="C8" s="12" t="s">
        <v>502</v>
      </c>
      <c r="D8" s="12" t="s">
        <v>503</v>
      </c>
      <c r="E8" s="13" t="s">
        <v>109</v>
      </c>
      <c r="F8" s="12" t="s">
        <v>504</v>
      </c>
      <c r="G8" s="12" t="s">
        <v>505</v>
      </c>
      <c r="H8" s="12" t="s">
        <v>465</v>
      </c>
      <c r="I8" s="12" t="s">
        <v>506</v>
      </c>
    </row>
    <row r="9" customFormat="false" ht="23.85" hidden="false" customHeight="false" outlineLevel="0" collapsed="false">
      <c r="A9" s="10" t="n">
        <v>5</v>
      </c>
      <c r="B9" s="9" t="s">
        <v>443</v>
      </c>
      <c r="C9" s="9" t="s">
        <v>502</v>
      </c>
      <c r="D9" s="9" t="s">
        <v>507</v>
      </c>
      <c r="E9" s="10" t="s">
        <v>109</v>
      </c>
      <c r="F9" s="9" t="s">
        <v>208</v>
      </c>
      <c r="G9" s="9" t="s">
        <v>508</v>
      </c>
      <c r="H9" s="9" t="s">
        <v>509</v>
      </c>
      <c r="I9" s="9" t="s">
        <v>510</v>
      </c>
    </row>
    <row r="10" customFormat="false" ht="15" hidden="false" customHeight="false" outlineLevel="0" collapsed="false">
      <c r="A10" s="13" t="n">
        <v>6</v>
      </c>
      <c r="B10" s="12" t="s">
        <v>447</v>
      </c>
      <c r="C10" s="12" t="s">
        <v>502</v>
      </c>
      <c r="D10" s="12" t="s">
        <v>511</v>
      </c>
      <c r="E10" s="13" t="s">
        <v>109</v>
      </c>
      <c r="F10" s="12" t="s">
        <v>257</v>
      </c>
      <c r="G10" s="12" t="s">
        <v>512</v>
      </c>
      <c r="H10" s="12" t="s">
        <v>513</v>
      </c>
      <c r="I10" s="12" t="s">
        <v>514</v>
      </c>
    </row>
    <row r="11" customFormat="false" ht="15" hidden="false" customHeight="false" outlineLevel="0" collapsed="false">
      <c r="A11" s="10" t="n">
        <v>7</v>
      </c>
      <c r="B11" s="9" t="s">
        <v>137</v>
      </c>
      <c r="C11" s="9" t="s">
        <v>107</v>
      </c>
      <c r="D11" s="9"/>
      <c r="E11" s="10" t="s">
        <v>109</v>
      </c>
      <c r="F11" s="9" t="s">
        <v>515</v>
      </c>
      <c r="G11" s="9" t="s">
        <v>516</v>
      </c>
      <c r="H11" s="9" t="s">
        <v>112</v>
      </c>
      <c r="I11" s="9" t="s">
        <v>498</v>
      </c>
    </row>
    <row r="12" customFormat="false" ht="15" hidden="false" customHeight="false" outlineLevel="0" collapsed="false">
      <c r="A12" s="13" t="n">
        <v>8</v>
      </c>
      <c r="B12" s="12" t="s">
        <v>212</v>
      </c>
      <c r="C12" s="12" t="s">
        <v>213</v>
      </c>
      <c r="D12" s="12"/>
      <c r="E12" s="13" t="s">
        <v>109</v>
      </c>
      <c r="F12" s="12" t="s">
        <v>517</v>
      </c>
      <c r="G12" s="12" t="s">
        <v>518</v>
      </c>
      <c r="H12" s="12" t="s">
        <v>519</v>
      </c>
      <c r="I12" s="12" t="s">
        <v>520</v>
      </c>
    </row>
    <row r="13" customFormat="false" ht="15" hidden="false" customHeight="false" outlineLevel="0" collapsed="false">
      <c r="A13" s="10" t="n">
        <v>9</v>
      </c>
      <c r="B13" s="9" t="s">
        <v>521</v>
      </c>
      <c r="C13" s="9" t="s">
        <v>241</v>
      </c>
      <c r="D13" s="9"/>
      <c r="E13" s="10" t="s">
        <v>109</v>
      </c>
      <c r="F13" s="9" t="s">
        <v>522</v>
      </c>
      <c r="G13" s="9" t="s">
        <v>505</v>
      </c>
      <c r="H13" s="9" t="s">
        <v>523</v>
      </c>
      <c r="I13" s="9" t="s">
        <v>524</v>
      </c>
    </row>
    <row r="14" customFormat="false" ht="23.85" hidden="false" customHeight="false" outlineLevel="0" collapsed="false">
      <c r="A14" s="13" t="n">
        <v>10</v>
      </c>
      <c r="B14" s="12" t="s">
        <v>525</v>
      </c>
      <c r="C14" s="12" t="s">
        <v>241</v>
      </c>
      <c r="D14" s="12"/>
      <c r="E14" s="13" t="s">
        <v>168</v>
      </c>
      <c r="F14" s="12" t="s">
        <v>526</v>
      </c>
      <c r="G14" s="12" t="s">
        <v>527</v>
      </c>
      <c r="H14" s="12" t="s">
        <v>523</v>
      </c>
      <c r="I14" s="12" t="s">
        <v>528</v>
      </c>
    </row>
    <row r="15" customFormat="false" ht="23.85" hidden="false" customHeight="false" outlineLevel="0" collapsed="false">
      <c r="A15" s="10" t="n">
        <v>11</v>
      </c>
      <c r="B15" s="9" t="s">
        <v>529</v>
      </c>
      <c r="C15" s="9" t="s">
        <v>530</v>
      </c>
      <c r="D15" s="9"/>
      <c r="E15" s="10" t="s">
        <v>109</v>
      </c>
      <c r="F15" s="9" t="s">
        <v>236</v>
      </c>
      <c r="G15" s="9" t="s">
        <v>531</v>
      </c>
      <c r="H15" s="9" t="s">
        <v>532</v>
      </c>
      <c r="I15" s="9" t="s">
        <v>533</v>
      </c>
    </row>
    <row r="16" customFormat="false" ht="23.85" hidden="false" customHeight="false" outlineLevel="0" collapsed="false">
      <c r="A16" s="13" t="n">
        <v>12</v>
      </c>
      <c r="B16" s="12" t="s">
        <v>534</v>
      </c>
      <c r="C16" s="12" t="s">
        <v>174</v>
      </c>
      <c r="D16" s="12"/>
      <c r="E16" s="13" t="s">
        <v>168</v>
      </c>
      <c r="F16" s="12" t="s">
        <v>535</v>
      </c>
      <c r="G16" s="12" t="s">
        <v>536</v>
      </c>
      <c r="H16" s="12" t="s">
        <v>537</v>
      </c>
      <c r="I16" s="12" t="s">
        <v>538</v>
      </c>
    </row>
    <row r="17" customFormat="false" ht="23.85" hidden="false" customHeight="false" outlineLevel="0" collapsed="false">
      <c r="A17" s="10" t="n">
        <v>13</v>
      </c>
      <c r="B17" s="9" t="s">
        <v>539</v>
      </c>
      <c r="C17" s="9" t="s">
        <v>540</v>
      </c>
      <c r="D17" s="9"/>
      <c r="E17" s="10" t="s">
        <v>168</v>
      </c>
      <c r="F17" s="9" t="s">
        <v>541</v>
      </c>
      <c r="G17" s="9" t="s">
        <v>536</v>
      </c>
      <c r="H17" s="9" t="s">
        <v>542</v>
      </c>
      <c r="I17" s="9" t="s">
        <v>543</v>
      </c>
    </row>
    <row r="18" customFormat="false" ht="15" hidden="false" customHeight="false" outlineLevel="0" collapsed="false">
      <c r="A18" s="13" t="n">
        <v>14</v>
      </c>
      <c r="B18" s="12" t="s">
        <v>544</v>
      </c>
      <c r="C18" s="12" t="s">
        <v>545</v>
      </c>
      <c r="D18" s="12"/>
      <c r="E18" s="13" t="s">
        <v>109</v>
      </c>
      <c r="F18" s="12" t="s">
        <v>270</v>
      </c>
      <c r="G18" s="12" t="s">
        <v>546</v>
      </c>
      <c r="H18" s="12" t="s">
        <v>523</v>
      </c>
      <c r="I18" s="12" t="s">
        <v>547</v>
      </c>
    </row>
    <row r="19" customFormat="false" ht="15" hidden="false" customHeight="false" outlineLevel="0" collapsed="false">
      <c r="A19" s="10" t="n">
        <v>15</v>
      </c>
      <c r="B19" s="9" t="s">
        <v>548</v>
      </c>
      <c r="C19" s="9" t="s">
        <v>545</v>
      </c>
      <c r="D19" s="9"/>
      <c r="E19" s="10" t="s">
        <v>109</v>
      </c>
      <c r="F19" s="9" t="s">
        <v>275</v>
      </c>
      <c r="G19" s="9" t="s">
        <v>549</v>
      </c>
      <c r="H19" s="9" t="s">
        <v>523</v>
      </c>
      <c r="I19" s="9" t="s">
        <v>550</v>
      </c>
    </row>
    <row r="20" customFormat="false" ht="15" hidden="false" customHeight="false" outlineLevel="0" collapsed="false">
      <c r="A20" s="13" t="n">
        <v>16</v>
      </c>
      <c r="B20" s="12" t="s">
        <v>551</v>
      </c>
      <c r="C20" s="12" t="s">
        <v>552</v>
      </c>
      <c r="D20" s="12"/>
      <c r="E20" s="13" t="s">
        <v>109</v>
      </c>
      <c r="F20" s="12" t="s">
        <v>553</v>
      </c>
      <c r="G20" s="12" t="s">
        <v>536</v>
      </c>
      <c r="H20" s="12" t="s">
        <v>554</v>
      </c>
      <c r="I20" s="12" t="s">
        <v>555</v>
      </c>
    </row>
    <row r="21" customFormat="false" ht="23.85" hidden="false" customHeight="false" outlineLevel="0" collapsed="false">
      <c r="A21" s="10" t="n">
        <v>17</v>
      </c>
      <c r="B21" s="9" t="s">
        <v>308</v>
      </c>
      <c r="C21" s="9" t="s">
        <v>174</v>
      </c>
      <c r="D21" s="9"/>
      <c r="E21" s="10" t="s">
        <v>168</v>
      </c>
      <c r="F21" s="9" t="s">
        <v>556</v>
      </c>
      <c r="G21" s="9" t="s">
        <v>557</v>
      </c>
      <c r="H21" s="9" t="s">
        <v>558</v>
      </c>
      <c r="I21" s="9" t="s">
        <v>559</v>
      </c>
    </row>
    <row r="22" customFormat="false" ht="15" hidden="false" customHeight="false" outlineLevel="0" collapsed="false">
      <c r="A22" s="13" t="n">
        <v>18</v>
      </c>
      <c r="B22" s="12" t="s">
        <v>560</v>
      </c>
      <c r="C22" s="12" t="s">
        <v>561</v>
      </c>
      <c r="D22" s="12"/>
      <c r="E22" s="13" t="s">
        <v>109</v>
      </c>
      <c r="F22" s="12" t="s">
        <v>562</v>
      </c>
      <c r="G22" s="12" t="s">
        <v>505</v>
      </c>
      <c r="H22" s="12" t="s">
        <v>563</v>
      </c>
      <c r="I22" s="12" t="s">
        <v>564</v>
      </c>
    </row>
    <row r="23" customFormat="false" ht="15" hidden="false" customHeight="false" outlineLevel="0" collapsed="false">
      <c r="A23" s="10" t="n">
        <v>19</v>
      </c>
      <c r="B23" s="9" t="s">
        <v>240</v>
      </c>
      <c r="C23" s="9" t="s">
        <v>565</v>
      </c>
      <c r="D23" s="9"/>
      <c r="E23" s="10" t="s">
        <v>109</v>
      </c>
      <c r="F23" s="9" t="s">
        <v>566</v>
      </c>
      <c r="G23" s="9" t="s">
        <v>243</v>
      </c>
      <c r="H23" s="9" t="s">
        <v>567</v>
      </c>
      <c r="I23" s="9" t="s">
        <v>568</v>
      </c>
    </row>
    <row r="25" customFormat="false" ht="15" hidden="false" customHeight="false" outlineLevel="0" collapsed="false">
      <c r="A25" s="5" t="s">
        <v>328</v>
      </c>
    </row>
    <row r="26" customFormat="false" ht="27" hidden="false" customHeight="true" outlineLevel="0" collapsed="false">
      <c r="A26" s="4" t="s">
        <v>569</v>
      </c>
      <c r="B26" s="4"/>
      <c r="C26" s="4"/>
      <c r="D26" s="4"/>
      <c r="E26" s="4"/>
      <c r="F26" s="4"/>
      <c r="G26" s="4"/>
      <c r="H26" s="4"/>
      <c r="I26" s="4"/>
    </row>
    <row r="27" customFormat="false" ht="27" hidden="false" customHeight="true" outlineLevel="0" collapsed="false">
      <c r="A27" s="4" t="s">
        <v>570</v>
      </c>
      <c r="B27" s="4"/>
      <c r="C27" s="4"/>
      <c r="D27" s="4"/>
      <c r="E27" s="4"/>
      <c r="F27" s="4"/>
      <c r="G27" s="4"/>
      <c r="H27" s="4"/>
      <c r="I27" s="4"/>
    </row>
    <row r="28" customFormat="false" ht="27" hidden="false" customHeight="true" outlineLevel="0" collapsed="false">
      <c r="A28" s="4" t="s">
        <v>571</v>
      </c>
      <c r="B28" s="4"/>
      <c r="C28" s="4"/>
      <c r="D28" s="4"/>
      <c r="E28" s="4"/>
      <c r="F28" s="4"/>
      <c r="G28" s="4"/>
      <c r="H28" s="4"/>
      <c r="I28" s="4"/>
    </row>
    <row r="29" customFormat="false" ht="27" hidden="false" customHeight="true" outlineLevel="0" collapsed="false">
      <c r="A29" s="4" t="s">
        <v>572</v>
      </c>
      <c r="B29" s="4"/>
      <c r="C29" s="4"/>
      <c r="D29" s="4"/>
      <c r="E29" s="4"/>
      <c r="F29" s="4"/>
      <c r="G29" s="4"/>
      <c r="H29" s="4"/>
      <c r="I29" s="4"/>
    </row>
  </sheetData>
  <autoFilter ref="A4:I23"/>
  <mergeCells count="4">
    <mergeCell ref="A26:I26"/>
    <mergeCell ref="A27:I27"/>
    <mergeCell ref="A28:I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5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573</v>
      </c>
    </row>
    <row r="2" customFormat="false" ht="15" hidden="false" customHeight="false" outlineLevel="0" collapsed="false">
      <c r="A2" s="2" t="s">
        <v>574</v>
      </c>
    </row>
    <row r="4" customFormat="false" ht="15" hidden="false" customHeight="false" outlineLevel="0" collapsed="false">
      <c r="A4" s="7" t="s">
        <v>96</v>
      </c>
      <c r="B4" s="7" t="s">
        <v>97</v>
      </c>
      <c r="C4" s="7" t="s">
        <v>488</v>
      </c>
      <c r="D4" s="7" t="s">
        <v>99</v>
      </c>
      <c r="E4" s="7" t="s">
        <v>100</v>
      </c>
      <c r="F4" s="7" t="s">
        <v>101</v>
      </c>
      <c r="G4" s="7" t="s">
        <v>64</v>
      </c>
      <c r="H4" s="7" t="s">
        <v>489</v>
      </c>
      <c r="I4" s="7" t="s">
        <v>339</v>
      </c>
    </row>
    <row r="5" customFormat="false" ht="23.85" hidden="false" customHeight="false" outlineLevel="0" collapsed="false">
      <c r="A5" s="10" t="n">
        <v>1</v>
      </c>
      <c r="B5" s="9" t="s">
        <v>443</v>
      </c>
      <c r="C5" s="9" t="s">
        <v>575</v>
      </c>
      <c r="D5" s="20" t="s">
        <v>108</v>
      </c>
      <c r="E5" s="10" t="s">
        <v>109</v>
      </c>
      <c r="F5" s="9" t="s">
        <v>491</v>
      </c>
      <c r="G5" s="9" t="s">
        <v>492</v>
      </c>
      <c r="H5" s="9" t="s">
        <v>493</v>
      </c>
      <c r="I5" s="9" t="s">
        <v>510</v>
      </c>
    </row>
    <row r="6" customFormat="false" ht="15" hidden="false" customHeight="false" outlineLevel="0" collapsed="false">
      <c r="A6" s="13" t="n">
        <v>2</v>
      </c>
      <c r="B6" s="12" t="s">
        <v>106</v>
      </c>
      <c r="C6" s="12" t="s">
        <v>107</v>
      </c>
      <c r="D6" s="20" t="s">
        <v>576</v>
      </c>
      <c r="E6" s="13" t="s">
        <v>109</v>
      </c>
      <c r="F6" s="12" t="s">
        <v>577</v>
      </c>
      <c r="G6" s="12" t="s">
        <v>578</v>
      </c>
      <c r="H6" s="12" t="s">
        <v>112</v>
      </c>
      <c r="I6" s="12" t="s">
        <v>498</v>
      </c>
    </row>
    <row r="7" customFormat="false" ht="23.85" hidden="false" customHeight="false" outlineLevel="0" collapsed="false">
      <c r="A7" s="10" t="n">
        <v>3</v>
      </c>
      <c r="B7" s="9" t="s">
        <v>114</v>
      </c>
      <c r="C7" s="9" t="s">
        <v>107</v>
      </c>
      <c r="D7" s="9"/>
      <c r="E7" s="10" t="s">
        <v>109</v>
      </c>
      <c r="F7" s="9" t="s">
        <v>579</v>
      </c>
      <c r="G7" s="9" t="s">
        <v>580</v>
      </c>
      <c r="H7" s="9" t="s">
        <v>112</v>
      </c>
      <c r="I7" s="9" t="s">
        <v>498</v>
      </c>
    </row>
    <row r="8" customFormat="false" ht="23.85" hidden="false" customHeight="false" outlineLevel="0" collapsed="false">
      <c r="A8" s="13" t="n">
        <v>4</v>
      </c>
      <c r="B8" s="12" t="s">
        <v>581</v>
      </c>
      <c r="C8" s="12" t="s">
        <v>119</v>
      </c>
      <c r="D8" s="12"/>
      <c r="E8" s="13" t="s">
        <v>109</v>
      </c>
      <c r="F8" s="12" t="s">
        <v>120</v>
      </c>
      <c r="G8" s="12" t="s">
        <v>582</v>
      </c>
      <c r="H8" s="12" t="s">
        <v>583</v>
      </c>
      <c r="I8" s="12" t="s">
        <v>584</v>
      </c>
    </row>
    <row r="9" customFormat="false" ht="15" hidden="false" customHeight="false" outlineLevel="0" collapsed="false">
      <c r="A9" s="10" t="n">
        <v>5</v>
      </c>
      <c r="B9" s="9" t="s">
        <v>585</v>
      </c>
      <c r="C9" s="9" t="s">
        <v>125</v>
      </c>
      <c r="D9" s="9"/>
      <c r="E9" s="10" t="s">
        <v>109</v>
      </c>
      <c r="F9" s="9" t="s">
        <v>586</v>
      </c>
      <c r="G9" s="9" t="s">
        <v>587</v>
      </c>
      <c r="H9" s="9" t="s">
        <v>519</v>
      </c>
      <c r="I9" s="9" t="s">
        <v>588</v>
      </c>
    </row>
    <row r="10" customFormat="false" ht="15" hidden="false" customHeight="false" outlineLevel="0" collapsed="false">
      <c r="A10" s="13" t="n">
        <v>6</v>
      </c>
      <c r="B10" s="12" t="s">
        <v>589</v>
      </c>
      <c r="C10" s="12" t="s">
        <v>131</v>
      </c>
      <c r="D10" s="12"/>
      <c r="E10" s="13" t="s">
        <v>109</v>
      </c>
      <c r="F10" s="12" t="s">
        <v>590</v>
      </c>
      <c r="G10" s="12" t="s">
        <v>591</v>
      </c>
      <c r="H10" s="12" t="s">
        <v>134</v>
      </c>
      <c r="I10" s="12" t="s">
        <v>592</v>
      </c>
    </row>
    <row r="11" customFormat="false" ht="15" hidden="false" customHeight="false" outlineLevel="0" collapsed="false">
      <c r="A11" s="10" t="n">
        <v>7</v>
      </c>
      <c r="B11" s="9" t="s">
        <v>240</v>
      </c>
      <c r="C11" s="9" t="s">
        <v>565</v>
      </c>
      <c r="D11" s="9"/>
      <c r="E11" s="10" t="s">
        <v>109</v>
      </c>
      <c r="F11" s="9" t="s">
        <v>593</v>
      </c>
      <c r="G11" s="9" t="s">
        <v>243</v>
      </c>
      <c r="H11" s="9" t="s">
        <v>567</v>
      </c>
      <c r="I11" s="9" t="s">
        <v>568</v>
      </c>
    </row>
    <row r="12" customFormat="false" ht="15" hidden="false" customHeight="false" outlineLevel="0" collapsed="false">
      <c r="A12" s="13" t="n">
        <v>8</v>
      </c>
      <c r="B12" s="12" t="s">
        <v>594</v>
      </c>
      <c r="C12" s="12" t="s">
        <v>565</v>
      </c>
      <c r="D12" s="12"/>
      <c r="E12" s="13" t="s">
        <v>109</v>
      </c>
      <c r="F12" s="12" t="s">
        <v>595</v>
      </c>
      <c r="G12" s="12" t="s">
        <v>243</v>
      </c>
      <c r="H12" s="12" t="s">
        <v>596</v>
      </c>
      <c r="I12" s="12" t="s">
        <v>568</v>
      </c>
    </row>
    <row r="14" customFormat="false" ht="15" hidden="false" customHeight="false" outlineLevel="0" collapsed="false">
      <c r="A14" s="5" t="s">
        <v>328</v>
      </c>
    </row>
    <row r="15" customFormat="false" ht="27" hidden="false" customHeight="true" outlineLevel="0" collapsed="false">
      <c r="A15" s="4" t="s">
        <v>597</v>
      </c>
      <c r="B15" s="4"/>
      <c r="C15" s="4"/>
      <c r="D15" s="4"/>
      <c r="E15" s="4"/>
      <c r="F15" s="4"/>
      <c r="G15" s="4"/>
      <c r="H15" s="4"/>
      <c r="I15" s="4"/>
    </row>
  </sheetData>
  <autoFilter ref="A4:I12"/>
  <mergeCells count="1"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5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598</v>
      </c>
    </row>
    <row r="2" customFormat="false" ht="15" hidden="false" customHeight="false" outlineLevel="0" collapsed="false">
      <c r="A2" s="2" t="s">
        <v>599</v>
      </c>
    </row>
    <row r="4" customFormat="false" ht="15" hidden="false" customHeight="false" outlineLevel="0" collapsed="false">
      <c r="A4" s="7" t="s">
        <v>96</v>
      </c>
      <c r="B4" s="7" t="s">
        <v>97</v>
      </c>
      <c r="C4" s="7" t="s">
        <v>488</v>
      </c>
      <c r="D4" s="7" t="s">
        <v>99</v>
      </c>
      <c r="E4" s="7" t="s">
        <v>100</v>
      </c>
      <c r="F4" s="7" t="s">
        <v>101</v>
      </c>
      <c r="G4" s="7" t="s">
        <v>64</v>
      </c>
      <c r="H4" s="7" t="s">
        <v>489</v>
      </c>
      <c r="I4" s="7" t="s">
        <v>339</v>
      </c>
    </row>
    <row r="5" customFormat="false" ht="23.85" hidden="false" customHeight="false" outlineLevel="0" collapsed="false">
      <c r="A5" s="10" t="n">
        <v>1</v>
      </c>
      <c r="B5" s="9" t="s">
        <v>447</v>
      </c>
      <c r="C5" s="9" t="s">
        <v>575</v>
      </c>
      <c r="D5" s="20" t="s">
        <v>108</v>
      </c>
      <c r="E5" s="10" t="s">
        <v>109</v>
      </c>
      <c r="F5" s="9" t="s">
        <v>491</v>
      </c>
      <c r="G5" s="9" t="s">
        <v>492</v>
      </c>
      <c r="H5" s="9" t="s">
        <v>493</v>
      </c>
      <c r="I5" s="9" t="s">
        <v>514</v>
      </c>
    </row>
    <row r="6" customFormat="false" ht="15" hidden="false" customHeight="false" outlineLevel="0" collapsed="false">
      <c r="A6" s="13" t="n">
        <v>2</v>
      </c>
      <c r="B6" s="12" t="s">
        <v>600</v>
      </c>
      <c r="C6" s="12" t="s">
        <v>601</v>
      </c>
      <c r="D6" s="20" t="s">
        <v>495</v>
      </c>
      <c r="E6" s="13" t="s">
        <v>109</v>
      </c>
      <c r="F6" s="12" t="s">
        <v>602</v>
      </c>
      <c r="G6" s="12" t="s">
        <v>243</v>
      </c>
      <c r="H6" s="12" t="s">
        <v>603</v>
      </c>
      <c r="I6" s="12" t="s">
        <v>604</v>
      </c>
    </row>
    <row r="7" customFormat="false" ht="23.85" hidden="false" customHeight="false" outlineLevel="0" collapsed="false">
      <c r="A7" s="10" t="n">
        <v>3</v>
      </c>
      <c r="B7" s="9" t="s">
        <v>164</v>
      </c>
      <c r="C7" s="9" t="s">
        <v>605</v>
      </c>
      <c r="D7" s="20" t="s">
        <v>499</v>
      </c>
      <c r="E7" s="10" t="s">
        <v>109</v>
      </c>
      <c r="F7" s="9" t="s">
        <v>606</v>
      </c>
      <c r="G7" s="9" t="s">
        <v>607</v>
      </c>
      <c r="H7" s="9" t="s">
        <v>112</v>
      </c>
      <c r="I7" s="9" t="s">
        <v>351</v>
      </c>
    </row>
    <row r="8" customFormat="false" ht="23.85" hidden="false" customHeight="false" outlineLevel="0" collapsed="false">
      <c r="A8" s="13" t="n">
        <v>4</v>
      </c>
      <c r="B8" s="12" t="s">
        <v>608</v>
      </c>
      <c r="C8" s="12" t="s">
        <v>609</v>
      </c>
      <c r="D8" s="12"/>
      <c r="E8" s="13" t="s">
        <v>168</v>
      </c>
      <c r="F8" s="12" t="s">
        <v>610</v>
      </c>
      <c r="G8" s="12" t="s">
        <v>611</v>
      </c>
      <c r="H8" s="12" t="s">
        <v>612</v>
      </c>
      <c r="I8" s="12" t="s">
        <v>355</v>
      </c>
    </row>
    <row r="9" customFormat="false" ht="15" hidden="false" customHeight="false" outlineLevel="0" collapsed="false">
      <c r="A9" s="10" t="n">
        <v>5</v>
      </c>
      <c r="B9" s="9" t="s">
        <v>613</v>
      </c>
      <c r="C9" s="9" t="s">
        <v>154</v>
      </c>
      <c r="D9" s="9"/>
      <c r="E9" s="10" t="s">
        <v>168</v>
      </c>
      <c r="F9" s="9" t="s">
        <v>614</v>
      </c>
      <c r="G9" s="9" t="s">
        <v>615</v>
      </c>
      <c r="H9" s="9" t="s">
        <v>616</v>
      </c>
      <c r="I9" s="9" t="s">
        <v>617</v>
      </c>
    </row>
    <row r="10" customFormat="false" ht="23.85" hidden="false" customHeight="false" outlineLevel="0" collapsed="false">
      <c r="A10" s="13" t="n">
        <v>6</v>
      </c>
      <c r="B10" s="12" t="s">
        <v>618</v>
      </c>
      <c r="C10" s="12" t="s">
        <v>154</v>
      </c>
      <c r="D10" s="12"/>
      <c r="E10" s="13" t="s">
        <v>109</v>
      </c>
      <c r="F10" s="12" t="s">
        <v>619</v>
      </c>
      <c r="G10" s="12" t="s">
        <v>620</v>
      </c>
      <c r="H10" s="12" t="s">
        <v>621</v>
      </c>
      <c r="I10" s="12" t="s">
        <v>622</v>
      </c>
    </row>
    <row r="11" customFormat="false" ht="15" hidden="false" customHeight="false" outlineLevel="0" collapsed="false">
      <c r="A11" s="10" t="n">
        <v>7</v>
      </c>
      <c r="B11" s="9" t="s">
        <v>358</v>
      </c>
      <c r="C11" s="9" t="s">
        <v>125</v>
      </c>
      <c r="D11" s="9"/>
      <c r="E11" s="10" t="s">
        <v>168</v>
      </c>
      <c r="F11" s="9" t="s">
        <v>623</v>
      </c>
      <c r="G11" s="9" t="s">
        <v>624</v>
      </c>
      <c r="H11" s="9" t="s">
        <v>625</v>
      </c>
      <c r="I11" s="9" t="s">
        <v>361</v>
      </c>
    </row>
    <row r="12" customFormat="false" ht="15" hidden="false" customHeight="false" outlineLevel="0" collapsed="false">
      <c r="A12" s="13" t="n">
        <v>8</v>
      </c>
      <c r="B12" s="12" t="s">
        <v>364</v>
      </c>
      <c r="C12" s="12" t="s">
        <v>125</v>
      </c>
      <c r="D12" s="12"/>
      <c r="E12" s="13" t="s">
        <v>168</v>
      </c>
      <c r="F12" s="12" t="s">
        <v>626</v>
      </c>
      <c r="G12" s="12" t="s">
        <v>627</v>
      </c>
      <c r="H12" s="12" t="s">
        <v>625</v>
      </c>
      <c r="I12" s="12" t="s">
        <v>366</v>
      </c>
    </row>
    <row r="13" customFormat="false" ht="15" hidden="false" customHeight="false" outlineLevel="0" collapsed="false">
      <c r="A13" s="10" t="n">
        <v>9</v>
      </c>
      <c r="B13" s="9" t="s">
        <v>628</v>
      </c>
      <c r="C13" s="9" t="s">
        <v>174</v>
      </c>
      <c r="D13" s="9"/>
      <c r="E13" s="10" t="s">
        <v>168</v>
      </c>
      <c r="F13" s="9" t="s">
        <v>629</v>
      </c>
      <c r="G13" s="9" t="s">
        <v>630</v>
      </c>
      <c r="H13" s="9" t="s">
        <v>616</v>
      </c>
      <c r="I13" s="9" t="s">
        <v>494</v>
      </c>
    </row>
    <row r="14" customFormat="false" ht="15" hidden="false" customHeight="false" outlineLevel="0" collapsed="false">
      <c r="A14" s="13" t="n">
        <v>10</v>
      </c>
      <c r="B14" s="12" t="s">
        <v>631</v>
      </c>
      <c r="C14" s="12" t="s">
        <v>502</v>
      </c>
      <c r="D14" s="12"/>
      <c r="E14" s="13" t="s">
        <v>168</v>
      </c>
      <c r="F14" s="12" t="s">
        <v>632</v>
      </c>
      <c r="G14" s="12" t="s">
        <v>633</v>
      </c>
      <c r="H14" s="12" t="s">
        <v>616</v>
      </c>
      <c r="I14" s="12" t="s">
        <v>634</v>
      </c>
    </row>
    <row r="15" customFormat="false" ht="15" hidden="false" customHeight="false" outlineLevel="0" collapsed="false">
      <c r="A15" s="10" t="n">
        <v>11</v>
      </c>
      <c r="B15" s="9" t="s">
        <v>635</v>
      </c>
      <c r="C15" s="9" t="s">
        <v>174</v>
      </c>
      <c r="D15" s="9"/>
      <c r="E15" s="10" t="s">
        <v>168</v>
      </c>
      <c r="F15" s="9" t="s">
        <v>636</v>
      </c>
      <c r="G15" s="9" t="s">
        <v>637</v>
      </c>
      <c r="H15" s="9" t="s">
        <v>616</v>
      </c>
      <c r="I15" s="9" t="s">
        <v>638</v>
      </c>
    </row>
    <row r="16" customFormat="false" ht="15" hidden="false" customHeight="false" outlineLevel="0" collapsed="false">
      <c r="A16" s="13" t="n">
        <v>12</v>
      </c>
      <c r="B16" s="12" t="s">
        <v>639</v>
      </c>
      <c r="C16" s="12" t="s">
        <v>174</v>
      </c>
      <c r="D16" s="12"/>
      <c r="E16" s="13" t="s">
        <v>168</v>
      </c>
      <c r="F16" s="12" t="s">
        <v>640</v>
      </c>
      <c r="G16" s="12" t="s">
        <v>641</v>
      </c>
      <c r="H16" s="12" t="s">
        <v>616</v>
      </c>
      <c r="I16" s="12" t="s">
        <v>642</v>
      </c>
    </row>
    <row r="17" customFormat="false" ht="15" hidden="false" customHeight="false" outlineLevel="0" collapsed="false">
      <c r="A17" s="10" t="n">
        <v>13</v>
      </c>
      <c r="B17" s="9" t="s">
        <v>643</v>
      </c>
      <c r="C17" s="9" t="s">
        <v>174</v>
      </c>
      <c r="D17" s="9"/>
      <c r="E17" s="10" t="s">
        <v>168</v>
      </c>
      <c r="F17" s="9" t="s">
        <v>644</v>
      </c>
      <c r="G17" s="9" t="s">
        <v>645</v>
      </c>
      <c r="H17" s="9" t="s">
        <v>616</v>
      </c>
      <c r="I17" s="9" t="s">
        <v>646</v>
      </c>
    </row>
    <row r="18" customFormat="false" ht="15" hidden="false" customHeight="false" outlineLevel="0" collapsed="false">
      <c r="A18" s="13" t="n">
        <v>14</v>
      </c>
      <c r="B18" s="12" t="s">
        <v>647</v>
      </c>
      <c r="C18" s="12" t="s">
        <v>648</v>
      </c>
      <c r="D18" s="12"/>
      <c r="E18" s="13" t="s">
        <v>168</v>
      </c>
      <c r="F18" s="12" t="s">
        <v>649</v>
      </c>
      <c r="G18" s="12" t="s">
        <v>650</v>
      </c>
      <c r="H18" s="12" t="s">
        <v>625</v>
      </c>
      <c r="I18" s="12" t="s">
        <v>651</v>
      </c>
    </row>
    <row r="19" customFormat="false" ht="23.85" hidden="false" customHeight="false" outlineLevel="0" collapsed="false">
      <c r="A19" s="10" t="n">
        <v>15</v>
      </c>
      <c r="B19" s="9" t="s">
        <v>652</v>
      </c>
      <c r="C19" s="9" t="s">
        <v>648</v>
      </c>
      <c r="D19" s="9"/>
      <c r="E19" s="10" t="s">
        <v>168</v>
      </c>
      <c r="F19" s="9" t="s">
        <v>653</v>
      </c>
      <c r="G19" s="9" t="s">
        <v>654</v>
      </c>
      <c r="H19" s="9" t="s">
        <v>625</v>
      </c>
      <c r="I19" s="9" t="s">
        <v>655</v>
      </c>
    </row>
    <row r="20" customFormat="false" ht="15" hidden="false" customHeight="false" outlineLevel="0" collapsed="false">
      <c r="A20" s="13" t="n">
        <v>16</v>
      </c>
      <c r="B20" s="12" t="s">
        <v>384</v>
      </c>
      <c r="C20" s="12" t="s">
        <v>174</v>
      </c>
      <c r="D20" s="12"/>
      <c r="E20" s="13" t="s">
        <v>168</v>
      </c>
      <c r="F20" s="12" t="s">
        <v>656</v>
      </c>
      <c r="G20" s="12" t="s">
        <v>657</v>
      </c>
      <c r="H20" s="12" t="s">
        <v>625</v>
      </c>
      <c r="I20" s="12" t="s">
        <v>387</v>
      </c>
    </row>
    <row r="21" customFormat="false" ht="15" hidden="false" customHeight="false" outlineLevel="0" collapsed="false">
      <c r="A21" s="10" t="n">
        <v>17</v>
      </c>
      <c r="B21" s="9" t="s">
        <v>395</v>
      </c>
      <c r="C21" s="9" t="s">
        <v>658</v>
      </c>
      <c r="D21" s="9"/>
      <c r="E21" s="10" t="s">
        <v>168</v>
      </c>
      <c r="F21" s="9" t="s">
        <v>659</v>
      </c>
      <c r="G21" s="9" t="s">
        <v>660</v>
      </c>
      <c r="H21" s="9" t="s">
        <v>625</v>
      </c>
      <c r="I21" s="9" t="s">
        <v>397</v>
      </c>
    </row>
    <row r="22" customFormat="false" ht="15" hidden="false" customHeight="false" outlineLevel="0" collapsed="false">
      <c r="A22" s="13" t="n">
        <v>18</v>
      </c>
      <c r="B22" s="12" t="s">
        <v>400</v>
      </c>
      <c r="C22" s="12" t="s">
        <v>174</v>
      </c>
      <c r="D22" s="12"/>
      <c r="E22" s="13" t="s">
        <v>168</v>
      </c>
      <c r="F22" s="12" t="s">
        <v>661</v>
      </c>
      <c r="G22" s="12" t="s">
        <v>662</v>
      </c>
      <c r="H22" s="12" t="s">
        <v>625</v>
      </c>
      <c r="I22" s="12" t="s">
        <v>402</v>
      </c>
    </row>
    <row r="23" customFormat="false" ht="35.05" hidden="false" customHeight="false" outlineLevel="0" collapsed="false">
      <c r="A23" s="10" t="n">
        <v>19</v>
      </c>
      <c r="B23" s="9" t="s">
        <v>663</v>
      </c>
      <c r="C23" s="9" t="s">
        <v>664</v>
      </c>
      <c r="D23" s="9"/>
      <c r="E23" s="10" t="s">
        <v>168</v>
      </c>
      <c r="F23" s="9" t="s">
        <v>665</v>
      </c>
      <c r="G23" s="9" t="s">
        <v>666</v>
      </c>
      <c r="H23" s="9" t="s">
        <v>625</v>
      </c>
      <c r="I23" s="9" t="s">
        <v>667</v>
      </c>
    </row>
    <row r="24" customFormat="false" ht="15" hidden="false" customHeight="false" outlineLevel="0" collapsed="false">
      <c r="A24" s="13" t="n">
        <v>20</v>
      </c>
      <c r="B24" s="12" t="s">
        <v>668</v>
      </c>
      <c r="C24" s="12" t="s">
        <v>565</v>
      </c>
      <c r="D24" s="12"/>
      <c r="E24" s="13" t="s">
        <v>168</v>
      </c>
      <c r="F24" s="12" t="s">
        <v>669</v>
      </c>
      <c r="G24" s="12" t="s">
        <v>670</v>
      </c>
      <c r="H24" s="12" t="s">
        <v>671</v>
      </c>
      <c r="I24" s="12" t="s">
        <v>672</v>
      </c>
    </row>
    <row r="25" customFormat="false" ht="15" hidden="false" customHeight="false" outlineLevel="0" collapsed="false">
      <c r="A25" s="10" t="n">
        <v>21</v>
      </c>
      <c r="B25" s="9" t="s">
        <v>673</v>
      </c>
      <c r="C25" s="9" t="s">
        <v>565</v>
      </c>
      <c r="D25" s="9"/>
      <c r="E25" s="10" t="s">
        <v>168</v>
      </c>
      <c r="F25" s="9" t="s">
        <v>674</v>
      </c>
      <c r="G25" s="9" t="s">
        <v>670</v>
      </c>
      <c r="H25" s="9" t="s">
        <v>675</v>
      </c>
      <c r="I25" s="9" t="s">
        <v>676</v>
      </c>
    </row>
    <row r="26" customFormat="false" ht="15" hidden="false" customHeight="false" outlineLevel="0" collapsed="false">
      <c r="A26" s="13" t="n">
        <v>22</v>
      </c>
      <c r="B26" s="12" t="s">
        <v>240</v>
      </c>
      <c r="C26" s="12" t="s">
        <v>565</v>
      </c>
      <c r="D26" s="12"/>
      <c r="E26" s="13" t="s">
        <v>109</v>
      </c>
      <c r="F26" s="12" t="s">
        <v>593</v>
      </c>
      <c r="G26" s="12" t="s">
        <v>243</v>
      </c>
      <c r="H26" s="12" t="s">
        <v>567</v>
      </c>
      <c r="I26" s="12" t="s">
        <v>568</v>
      </c>
    </row>
    <row r="27" customFormat="false" ht="15" hidden="false" customHeight="false" outlineLevel="0" collapsed="false">
      <c r="A27" s="10" t="n">
        <v>23</v>
      </c>
      <c r="B27" s="9" t="s">
        <v>594</v>
      </c>
      <c r="C27" s="9" t="s">
        <v>565</v>
      </c>
      <c r="D27" s="9"/>
      <c r="E27" s="10" t="s">
        <v>109</v>
      </c>
      <c r="F27" s="9" t="s">
        <v>595</v>
      </c>
      <c r="G27" s="9" t="s">
        <v>243</v>
      </c>
      <c r="H27" s="9" t="s">
        <v>596</v>
      </c>
      <c r="I27" s="9" t="s">
        <v>568</v>
      </c>
    </row>
    <row r="29" customFormat="false" ht="15" hidden="false" customHeight="false" outlineLevel="0" collapsed="false">
      <c r="A29" s="5" t="s">
        <v>328</v>
      </c>
    </row>
    <row r="30" customFormat="false" ht="27" hidden="false" customHeight="true" outlineLevel="0" collapsed="false">
      <c r="A30" s="4" t="s">
        <v>677</v>
      </c>
      <c r="B30" s="4"/>
      <c r="C30" s="4"/>
      <c r="D30" s="4"/>
      <c r="E30" s="4"/>
      <c r="F30" s="4"/>
      <c r="G30" s="4"/>
      <c r="H30" s="4"/>
      <c r="I30" s="4"/>
    </row>
    <row r="31" customFormat="false" ht="27" hidden="false" customHeight="true" outlineLevel="0" collapsed="false">
      <c r="A31" s="4" t="s">
        <v>678</v>
      </c>
      <c r="B31" s="4"/>
      <c r="C31" s="4"/>
      <c r="D31" s="4"/>
      <c r="E31" s="4"/>
      <c r="F31" s="4"/>
      <c r="G31" s="4"/>
      <c r="H31" s="4"/>
      <c r="I31" s="4"/>
    </row>
    <row r="32" customFormat="false" ht="27" hidden="false" customHeight="true" outlineLevel="0" collapsed="false">
      <c r="A32" s="4" t="s">
        <v>679</v>
      </c>
      <c r="B32" s="4"/>
      <c r="C32" s="4"/>
      <c r="D32" s="4"/>
      <c r="E32" s="4"/>
      <c r="F32" s="4"/>
      <c r="G32" s="4"/>
      <c r="H32" s="4"/>
      <c r="I32" s="4"/>
    </row>
  </sheetData>
  <autoFilter ref="A4:I27"/>
  <mergeCells count="3">
    <mergeCell ref="A30:I30"/>
    <mergeCell ref="A31:I31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5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680</v>
      </c>
    </row>
    <row r="2" customFormat="false" ht="15" hidden="false" customHeight="false" outlineLevel="0" collapsed="false">
      <c r="A2" s="2" t="s">
        <v>681</v>
      </c>
    </row>
    <row r="4" customFormat="false" ht="15" hidden="false" customHeight="false" outlineLevel="0" collapsed="false">
      <c r="A4" s="7" t="s">
        <v>96</v>
      </c>
      <c r="B4" s="7" t="s">
        <v>97</v>
      </c>
      <c r="C4" s="7" t="s">
        <v>488</v>
      </c>
      <c r="D4" s="7" t="s">
        <v>99</v>
      </c>
      <c r="E4" s="7" t="s">
        <v>100</v>
      </c>
      <c r="F4" s="7" t="s">
        <v>101</v>
      </c>
      <c r="G4" s="7" t="s">
        <v>64</v>
      </c>
      <c r="H4" s="7" t="s">
        <v>489</v>
      </c>
      <c r="I4" s="7" t="s">
        <v>339</v>
      </c>
    </row>
    <row r="5" customFormat="false" ht="15" hidden="false" customHeight="false" outlineLevel="0" collapsed="false">
      <c r="A5" s="10" t="n">
        <v>1</v>
      </c>
      <c r="B5" s="9" t="s">
        <v>438</v>
      </c>
      <c r="C5" s="9" t="s">
        <v>502</v>
      </c>
      <c r="D5" s="20" t="s">
        <v>108</v>
      </c>
      <c r="E5" s="10" t="s">
        <v>109</v>
      </c>
      <c r="F5" s="9" t="s">
        <v>682</v>
      </c>
      <c r="G5" s="9" t="s">
        <v>492</v>
      </c>
      <c r="H5" s="9" t="s">
        <v>683</v>
      </c>
      <c r="I5" s="9" t="s">
        <v>506</v>
      </c>
    </row>
    <row r="6" customFormat="false" ht="23.85" hidden="false" customHeight="false" outlineLevel="0" collapsed="false">
      <c r="A6" s="13" t="n">
        <v>2</v>
      </c>
      <c r="B6" s="12" t="s">
        <v>439</v>
      </c>
      <c r="C6" s="12" t="s">
        <v>530</v>
      </c>
      <c r="D6" s="20" t="s">
        <v>576</v>
      </c>
      <c r="E6" s="13" t="s">
        <v>109</v>
      </c>
      <c r="F6" s="12" t="s">
        <v>684</v>
      </c>
      <c r="G6" s="12" t="s">
        <v>492</v>
      </c>
      <c r="H6" s="12" t="s">
        <v>685</v>
      </c>
      <c r="I6" s="12" t="s">
        <v>686</v>
      </c>
    </row>
    <row r="7" customFormat="false" ht="15" hidden="false" customHeight="false" outlineLevel="0" collapsed="false">
      <c r="A7" s="10" t="n">
        <v>3</v>
      </c>
      <c r="B7" s="9" t="s">
        <v>687</v>
      </c>
      <c r="C7" s="9" t="s">
        <v>174</v>
      </c>
      <c r="D7" s="9"/>
      <c r="E7" s="10" t="s">
        <v>109</v>
      </c>
      <c r="F7" s="9" t="s">
        <v>688</v>
      </c>
      <c r="G7" s="9" t="s">
        <v>492</v>
      </c>
      <c r="H7" s="9" t="s">
        <v>689</v>
      </c>
      <c r="I7" s="9" t="s">
        <v>690</v>
      </c>
    </row>
    <row r="8" customFormat="false" ht="15" hidden="false" customHeight="false" outlineLevel="0" collapsed="false">
      <c r="A8" s="13" t="n">
        <v>4</v>
      </c>
      <c r="B8" s="12" t="s">
        <v>691</v>
      </c>
      <c r="C8" s="12" t="s">
        <v>692</v>
      </c>
      <c r="D8" s="12"/>
      <c r="E8" s="13" t="s">
        <v>109</v>
      </c>
      <c r="F8" s="12" t="s">
        <v>693</v>
      </c>
      <c r="G8" s="12" t="s">
        <v>492</v>
      </c>
      <c r="H8" s="12" t="s">
        <v>694</v>
      </c>
      <c r="I8" s="12" t="s">
        <v>695</v>
      </c>
    </row>
    <row r="9" customFormat="false" ht="15" hidden="false" customHeight="false" outlineLevel="0" collapsed="false">
      <c r="A9" s="10" t="n">
        <v>5</v>
      </c>
      <c r="B9" s="9" t="s">
        <v>696</v>
      </c>
      <c r="C9" s="9" t="s">
        <v>174</v>
      </c>
      <c r="D9" s="9"/>
      <c r="E9" s="10" t="s">
        <v>109</v>
      </c>
      <c r="F9" s="9" t="s">
        <v>697</v>
      </c>
      <c r="G9" s="9" t="s">
        <v>492</v>
      </c>
      <c r="H9" s="9" t="s">
        <v>698</v>
      </c>
      <c r="I9" s="9" t="s">
        <v>699</v>
      </c>
    </row>
    <row r="10" customFormat="false" ht="15" hidden="false" customHeight="false" outlineLevel="0" collapsed="false">
      <c r="A10" s="13" t="n">
        <v>6</v>
      </c>
      <c r="B10" s="12" t="s">
        <v>700</v>
      </c>
      <c r="C10" s="12" t="s">
        <v>174</v>
      </c>
      <c r="D10" s="12"/>
      <c r="E10" s="13" t="s">
        <v>109</v>
      </c>
      <c r="F10" s="12" t="s">
        <v>701</v>
      </c>
      <c r="G10" s="12" t="s">
        <v>492</v>
      </c>
      <c r="H10" s="12" t="s">
        <v>702</v>
      </c>
      <c r="I10" s="12" t="s">
        <v>703</v>
      </c>
    </row>
    <row r="11" customFormat="false" ht="15" hidden="false" customHeight="false" outlineLevel="0" collapsed="false">
      <c r="A11" s="10" t="n">
        <v>7</v>
      </c>
      <c r="B11" s="9" t="s">
        <v>704</v>
      </c>
      <c r="C11" s="9" t="s">
        <v>174</v>
      </c>
      <c r="D11" s="9"/>
      <c r="E11" s="10" t="s">
        <v>109</v>
      </c>
      <c r="F11" s="9" t="s">
        <v>705</v>
      </c>
      <c r="G11" s="9" t="s">
        <v>492</v>
      </c>
      <c r="H11" s="9" t="s">
        <v>706</v>
      </c>
      <c r="I11" s="9" t="s">
        <v>699</v>
      </c>
    </row>
    <row r="12" customFormat="false" ht="15" hidden="false" customHeight="false" outlineLevel="0" collapsed="false">
      <c r="A12" s="13" t="n">
        <v>8</v>
      </c>
      <c r="B12" s="12" t="s">
        <v>707</v>
      </c>
      <c r="C12" s="12" t="s">
        <v>692</v>
      </c>
      <c r="D12" s="12"/>
      <c r="E12" s="13" t="s">
        <v>109</v>
      </c>
      <c r="F12" s="12" t="s">
        <v>708</v>
      </c>
      <c r="G12" s="12" t="s">
        <v>492</v>
      </c>
      <c r="H12" s="12" t="s">
        <v>709</v>
      </c>
      <c r="I12" s="12" t="s">
        <v>710</v>
      </c>
    </row>
    <row r="13" customFormat="false" ht="15" hidden="false" customHeight="false" outlineLevel="0" collapsed="false">
      <c r="A13" s="10" t="n">
        <v>9</v>
      </c>
      <c r="B13" s="9" t="s">
        <v>711</v>
      </c>
      <c r="C13" s="9" t="s">
        <v>174</v>
      </c>
      <c r="D13" s="9"/>
      <c r="E13" s="10" t="s">
        <v>109</v>
      </c>
      <c r="F13" s="9" t="s">
        <v>712</v>
      </c>
      <c r="G13" s="9" t="s">
        <v>492</v>
      </c>
      <c r="H13" s="9" t="s">
        <v>713</v>
      </c>
      <c r="I13" s="9" t="s">
        <v>494</v>
      </c>
    </row>
    <row r="14" customFormat="false" ht="15" hidden="false" customHeight="false" outlineLevel="0" collapsed="false">
      <c r="A14" s="13" t="n">
        <v>10</v>
      </c>
      <c r="B14" s="12" t="s">
        <v>714</v>
      </c>
      <c r="C14" s="12" t="s">
        <v>131</v>
      </c>
      <c r="D14" s="12"/>
      <c r="E14" s="13" t="s">
        <v>109</v>
      </c>
      <c r="F14" s="12" t="s">
        <v>715</v>
      </c>
      <c r="G14" s="12" t="s">
        <v>492</v>
      </c>
      <c r="H14" s="12" t="s">
        <v>716</v>
      </c>
      <c r="I14" s="12" t="s">
        <v>717</v>
      </c>
    </row>
    <row r="15" customFormat="false" ht="15" hidden="false" customHeight="false" outlineLevel="0" collapsed="false">
      <c r="A15" s="10" t="n">
        <v>11</v>
      </c>
      <c r="B15" s="9" t="s">
        <v>718</v>
      </c>
      <c r="C15" s="9" t="s">
        <v>174</v>
      </c>
      <c r="D15" s="9"/>
      <c r="E15" s="10" t="s">
        <v>109</v>
      </c>
      <c r="F15" s="9" t="s">
        <v>719</v>
      </c>
      <c r="G15" s="9" t="s">
        <v>492</v>
      </c>
      <c r="H15" s="9" t="s">
        <v>720</v>
      </c>
      <c r="I15" s="9" t="s">
        <v>721</v>
      </c>
    </row>
    <row r="16" customFormat="false" ht="15" hidden="false" customHeight="false" outlineLevel="0" collapsed="false">
      <c r="A16" s="13" t="n">
        <v>12</v>
      </c>
      <c r="B16" s="12" t="s">
        <v>722</v>
      </c>
      <c r="C16" s="12" t="s">
        <v>561</v>
      </c>
      <c r="D16" s="12"/>
      <c r="E16" s="13" t="s">
        <v>109</v>
      </c>
      <c r="F16" s="12" t="s">
        <v>723</v>
      </c>
      <c r="G16" s="12" t="s">
        <v>492</v>
      </c>
      <c r="H16" s="12" t="s">
        <v>724</v>
      </c>
      <c r="I16" s="12" t="s">
        <v>564</v>
      </c>
    </row>
    <row r="17" customFormat="false" ht="15" hidden="false" customHeight="false" outlineLevel="0" collapsed="false">
      <c r="A17" s="10" t="n">
        <v>13</v>
      </c>
      <c r="B17" s="9" t="s">
        <v>725</v>
      </c>
      <c r="C17" s="9" t="s">
        <v>540</v>
      </c>
      <c r="D17" s="9"/>
      <c r="E17" s="10" t="s">
        <v>109</v>
      </c>
      <c r="F17" s="9" t="s">
        <v>726</v>
      </c>
      <c r="G17" s="9" t="s">
        <v>492</v>
      </c>
      <c r="H17" s="9" t="s">
        <v>727</v>
      </c>
      <c r="I17" s="9" t="s">
        <v>543</v>
      </c>
    </row>
    <row r="19" customFormat="false" ht="15" hidden="false" customHeight="false" outlineLevel="0" collapsed="false">
      <c r="A19" s="5" t="s">
        <v>328</v>
      </c>
    </row>
    <row r="20" customFormat="false" ht="27" hidden="false" customHeight="true" outlineLevel="0" collapsed="false">
      <c r="A20" s="4" t="s">
        <v>728</v>
      </c>
      <c r="B20" s="4"/>
      <c r="C20" s="4"/>
      <c r="D20" s="4"/>
      <c r="E20" s="4"/>
      <c r="F20" s="4"/>
      <c r="G20" s="4"/>
      <c r="H20" s="4"/>
      <c r="I20" s="4"/>
    </row>
  </sheetData>
  <autoFilter ref="A4:I17"/>
  <mergeCells count="1"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729</v>
      </c>
    </row>
    <row r="2" customFormat="false" ht="15" hidden="false" customHeight="false" outlineLevel="0" collapsed="false">
      <c r="A2" s="2" t="s">
        <v>730</v>
      </c>
    </row>
    <row r="4" customFormat="false" ht="15" hidden="false" customHeight="false" outlineLevel="0" collapsed="false">
      <c r="A4" s="7" t="s">
        <v>97</v>
      </c>
      <c r="B4" s="7" t="s">
        <v>731</v>
      </c>
      <c r="C4" s="7" t="s">
        <v>732</v>
      </c>
      <c r="D4" s="7" t="s">
        <v>72</v>
      </c>
    </row>
    <row r="5" customFormat="false" ht="15" hidden="false" customHeight="false" outlineLevel="0" collapsed="false">
      <c r="A5" s="9" t="s">
        <v>733</v>
      </c>
      <c r="B5" s="9" t="s">
        <v>520</v>
      </c>
      <c r="C5" s="9" t="s">
        <v>734</v>
      </c>
      <c r="D5" s="19" t="s">
        <v>735</v>
      </c>
    </row>
    <row r="6" customFormat="false" ht="15" hidden="false" customHeight="false" outlineLevel="0" collapsed="false">
      <c r="A6" s="12" t="s">
        <v>733</v>
      </c>
      <c r="B6" s="12" t="s">
        <v>736</v>
      </c>
      <c r="C6" s="12" t="s">
        <v>737</v>
      </c>
      <c r="D6" s="19" t="s">
        <v>735</v>
      </c>
    </row>
    <row r="7" customFormat="false" ht="15" hidden="false" customHeight="false" outlineLevel="0" collapsed="false">
      <c r="A7" s="9" t="s">
        <v>733</v>
      </c>
      <c r="B7" s="9" t="s">
        <v>738</v>
      </c>
      <c r="C7" s="9" t="s">
        <v>739</v>
      </c>
      <c r="D7" s="19" t="s">
        <v>735</v>
      </c>
    </row>
    <row r="8" customFormat="false" ht="15" hidden="false" customHeight="false" outlineLevel="0" collapsed="false">
      <c r="A8" s="12" t="s">
        <v>733</v>
      </c>
      <c r="B8" s="12" t="s">
        <v>740</v>
      </c>
      <c r="C8" s="12" t="s">
        <v>741</v>
      </c>
      <c r="D8" s="19" t="s">
        <v>735</v>
      </c>
    </row>
    <row r="9" customFormat="false" ht="15" hidden="false" customHeight="false" outlineLevel="0" collapsed="false">
      <c r="A9" s="9" t="s">
        <v>733</v>
      </c>
      <c r="B9" s="9" t="s">
        <v>742</v>
      </c>
      <c r="C9" s="9" t="s">
        <v>743</v>
      </c>
      <c r="D9" s="19" t="s">
        <v>735</v>
      </c>
    </row>
    <row r="10" customFormat="false" ht="15" hidden="false" customHeight="false" outlineLevel="0" collapsed="false">
      <c r="A10" s="12" t="s">
        <v>733</v>
      </c>
      <c r="B10" s="12" t="s">
        <v>744</v>
      </c>
      <c r="C10" s="12" t="s">
        <v>745</v>
      </c>
      <c r="D10" s="19" t="s">
        <v>735</v>
      </c>
    </row>
    <row r="11" customFormat="false" ht="15" hidden="false" customHeight="false" outlineLevel="0" collapsed="false">
      <c r="A11" s="9" t="s">
        <v>733</v>
      </c>
      <c r="B11" s="9" t="s">
        <v>746</v>
      </c>
      <c r="C11" s="9" t="s">
        <v>747</v>
      </c>
      <c r="D11" s="19" t="s">
        <v>735</v>
      </c>
    </row>
    <row r="12" customFormat="false" ht="15" hidden="false" customHeight="false" outlineLevel="0" collapsed="false">
      <c r="A12" s="12" t="s">
        <v>733</v>
      </c>
      <c r="B12" s="12" t="s">
        <v>748</v>
      </c>
      <c r="C12" s="12" t="s">
        <v>749</v>
      </c>
      <c r="D12" s="19" t="s">
        <v>735</v>
      </c>
    </row>
    <row r="13" customFormat="false" ht="15" hidden="false" customHeight="false" outlineLevel="0" collapsed="false">
      <c r="A13" s="9" t="s">
        <v>750</v>
      </c>
      <c r="B13" s="9" t="s">
        <v>751</v>
      </c>
      <c r="C13" s="9" t="s">
        <v>752</v>
      </c>
      <c r="D13" s="19" t="s">
        <v>735</v>
      </c>
    </row>
    <row r="14" customFormat="false" ht="15" hidden="false" customHeight="false" outlineLevel="0" collapsed="false">
      <c r="A14" s="12" t="s">
        <v>750</v>
      </c>
      <c r="B14" s="12" t="s">
        <v>753</v>
      </c>
      <c r="C14" s="12" t="s">
        <v>754</v>
      </c>
      <c r="D14" s="19" t="s">
        <v>735</v>
      </c>
    </row>
    <row r="15" customFormat="false" ht="15" hidden="false" customHeight="false" outlineLevel="0" collapsed="false">
      <c r="A15" s="9" t="s">
        <v>750</v>
      </c>
      <c r="B15" s="9" t="s">
        <v>755</v>
      </c>
      <c r="C15" s="9" t="s">
        <v>756</v>
      </c>
      <c r="D15" s="19" t="s">
        <v>735</v>
      </c>
    </row>
    <row r="16" customFormat="false" ht="15" hidden="false" customHeight="false" outlineLevel="0" collapsed="false">
      <c r="A16" s="12" t="s">
        <v>750</v>
      </c>
      <c r="B16" s="12" t="s">
        <v>757</v>
      </c>
      <c r="C16" s="12" t="s">
        <v>758</v>
      </c>
      <c r="D16" s="19" t="s">
        <v>735</v>
      </c>
    </row>
    <row r="17" customFormat="false" ht="15" hidden="false" customHeight="false" outlineLevel="0" collapsed="false">
      <c r="A17" s="9" t="s">
        <v>750</v>
      </c>
      <c r="B17" s="9" t="s">
        <v>759</v>
      </c>
      <c r="C17" s="9" t="s">
        <v>760</v>
      </c>
      <c r="D17" s="19" t="s">
        <v>735</v>
      </c>
    </row>
    <row r="18" customFormat="false" ht="15" hidden="false" customHeight="false" outlineLevel="0" collapsed="false">
      <c r="A18" s="12" t="s">
        <v>761</v>
      </c>
      <c r="B18" s="12" t="s">
        <v>494</v>
      </c>
      <c r="C18" s="12" t="s">
        <v>762</v>
      </c>
      <c r="D18" s="19" t="s">
        <v>735</v>
      </c>
    </row>
    <row r="19" customFormat="false" ht="15" hidden="false" customHeight="false" outlineLevel="0" collapsed="false">
      <c r="A19" s="9" t="s">
        <v>761</v>
      </c>
      <c r="B19" s="9" t="s">
        <v>402</v>
      </c>
      <c r="C19" s="9" t="s">
        <v>762</v>
      </c>
      <c r="D19" s="19" t="s">
        <v>735</v>
      </c>
    </row>
    <row r="20" customFormat="false" ht="15" hidden="false" customHeight="false" outlineLevel="0" collapsed="false">
      <c r="A20" s="12" t="s">
        <v>761</v>
      </c>
      <c r="B20" s="12" t="s">
        <v>699</v>
      </c>
      <c r="C20" s="12" t="s">
        <v>762</v>
      </c>
      <c r="D20" s="19" t="s">
        <v>735</v>
      </c>
    </row>
    <row r="21" customFormat="false" ht="15" hidden="false" customHeight="false" outlineLevel="0" collapsed="false">
      <c r="A21" s="9" t="s">
        <v>761</v>
      </c>
      <c r="B21" s="9" t="s">
        <v>763</v>
      </c>
      <c r="C21" s="9" t="s">
        <v>762</v>
      </c>
      <c r="D21" s="19" t="s">
        <v>735</v>
      </c>
    </row>
    <row r="22" customFormat="false" ht="15" hidden="false" customHeight="false" outlineLevel="0" collapsed="false">
      <c r="A22" s="12" t="s">
        <v>761</v>
      </c>
      <c r="B22" s="12" t="s">
        <v>559</v>
      </c>
      <c r="C22" s="12" t="s">
        <v>762</v>
      </c>
      <c r="D22" s="19" t="s">
        <v>735</v>
      </c>
    </row>
    <row r="23" customFormat="false" ht="15" hidden="false" customHeight="false" outlineLevel="0" collapsed="false">
      <c r="A23" s="9" t="s">
        <v>764</v>
      </c>
      <c r="B23" s="9" t="s">
        <v>765</v>
      </c>
      <c r="C23" s="9" t="s">
        <v>766</v>
      </c>
      <c r="D23" s="9" t="s">
        <v>767</v>
      </c>
    </row>
    <row r="24" customFormat="false" ht="15" hidden="false" customHeight="false" outlineLevel="0" collapsed="false">
      <c r="A24" s="12" t="s">
        <v>764</v>
      </c>
      <c r="B24" s="12" t="s">
        <v>768</v>
      </c>
      <c r="C24" s="12" t="s">
        <v>766</v>
      </c>
      <c r="D24" s="12" t="s">
        <v>767</v>
      </c>
    </row>
    <row r="25" customFormat="false" ht="15" hidden="false" customHeight="false" outlineLevel="0" collapsed="false">
      <c r="A25" s="9" t="s">
        <v>764</v>
      </c>
      <c r="B25" s="9" t="s">
        <v>769</v>
      </c>
      <c r="C25" s="9" t="s">
        <v>766</v>
      </c>
      <c r="D25" s="9" t="s">
        <v>767</v>
      </c>
    </row>
    <row r="26" customFormat="false" ht="15" hidden="false" customHeight="false" outlineLevel="0" collapsed="false">
      <c r="A26" s="12" t="s">
        <v>764</v>
      </c>
      <c r="B26" s="12" t="s">
        <v>770</v>
      </c>
      <c r="C26" s="12" t="s">
        <v>766</v>
      </c>
      <c r="D26" s="12" t="s">
        <v>767</v>
      </c>
    </row>
    <row r="27" customFormat="false" ht="15" hidden="false" customHeight="false" outlineLevel="0" collapsed="false">
      <c r="A27" s="9" t="s">
        <v>764</v>
      </c>
      <c r="B27" s="9" t="s">
        <v>771</v>
      </c>
      <c r="C27" s="9" t="s">
        <v>766</v>
      </c>
      <c r="D27" s="9" t="s">
        <v>767</v>
      </c>
    </row>
    <row r="28" customFormat="false" ht="15" hidden="false" customHeight="false" outlineLevel="0" collapsed="false">
      <c r="A28" s="12" t="s">
        <v>764</v>
      </c>
      <c r="B28" s="12" t="s">
        <v>772</v>
      </c>
      <c r="C28" s="12" t="s">
        <v>766</v>
      </c>
      <c r="D28" s="12" t="s">
        <v>767</v>
      </c>
    </row>
    <row r="29" customFormat="false" ht="15" hidden="false" customHeight="false" outlineLevel="0" collapsed="false">
      <c r="A29" s="9" t="s">
        <v>764</v>
      </c>
      <c r="B29" s="9" t="s">
        <v>773</v>
      </c>
      <c r="C29" s="9" t="s">
        <v>766</v>
      </c>
      <c r="D29" s="9" t="s">
        <v>767</v>
      </c>
    </row>
    <row r="30" customFormat="false" ht="15" hidden="false" customHeight="false" outlineLevel="0" collapsed="false">
      <c r="A30" s="12" t="s">
        <v>764</v>
      </c>
      <c r="B30" s="12" t="s">
        <v>774</v>
      </c>
      <c r="C30" s="12" t="s">
        <v>766</v>
      </c>
      <c r="D30" s="12" t="s">
        <v>767</v>
      </c>
    </row>
    <row r="31" customFormat="false" ht="15" hidden="false" customHeight="false" outlineLevel="0" collapsed="false">
      <c r="A31" s="9" t="s">
        <v>764</v>
      </c>
      <c r="B31" s="9" t="s">
        <v>775</v>
      </c>
      <c r="C31" s="9" t="s">
        <v>766</v>
      </c>
      <c r="D31" s="9" t="s">
        <v>767</v>
      </c>
    </row>
    <row r="32" customFormat="false" ht="15" hidden="false" customHeight="false" outlineLevel="0" collapsed="false">
      <c r="A32" s="12" t="s">
        <v>764</v>
      </c>
      <c r="B32" s="12" t="s">
        <v>776</v>
      </c>
      <c r="C32" s="12" t="s">
        <v>766</v>
      </c>
      <c r="D32" s="12" t="s">
        <v>767</v>
      </c>
    </row>
    <row r="33" customFormat="false" ht="15" hidden="false" customHeight="false" outlineLevel="0" collapsed="false">
      <c r="A33" s="9" t="s">
        <v>764</v>
      </c>
      <c r="B33" s="9" t="s">
        <v>777</v>
      </c>
      <c r="C33" s="9" t="s">
        <v>766</v>
      </c>
      <c r="D33" s="9" t="s">
        <v>767</v>
      </c>
    </row>
    <row r="34" customFormat="false" ht="15" hidden="false" customHeight="false" outlineLevel="0" collapsed="false">
      <c r="A34" s="12" t="s">
        <v>764</v>
      </c>
      <c r="B34" s="12" t="s">
        <v>778</v>
      </c>
      <c r="C34" s="12" t="s">
        <v>766</v>
      </c>
      <c r="D34" s="12" t="s">
        <v>767</v>
      </c>
    </row>
    <row r="35" customFormat="false" ht="15" hidden="false" customHeight="false" outlineLevel="0" collapsed="false">
      <c r="A35" s="9" t="s">
        <v>764</v>
      </c>
      <c r="B35" s="9" t="s">
        <v>779</v>
      </c>
      <c r="C35" s="9" t="s">
        <v>766</v>
      </c>
      <c r="D35" s="9" t="s">
        <v>767</v>
      </c>
    </row>
    <row r="36" customFormat="false" ht="15" hidden="false" customHeight="false" outlineLevel="0" collapsed="false">
      <c r="A36" s="12" t="s">
        <v>764</v>
      </c>
      <c r="B36" s="12" t="s">
        <v>780</v>
      </c>
      <c r="C36" s="12" t="s">
        <v>766</v>
      </c>
      <c r="D36" s="12" t="s">
        <v>767</v>
      </c>
    </row>
    <row r="37" customFormat="false" ht="15" hidden="false" customHeight="false" outlineLevel="0" collapsed="false">
      <c r="A37" s="9" t="s">
        <v>764</v>
      </c>
      <c r="B37" s="9" t="s">
        <v>781</v>
      </c>
      <c r="C37" s="9" t="s">
        <v>766</v>
      </c>
      <c r="D37" s="9" t="s">
        <v>767</v>
      </c>
    </row>
    <row r="38" customFormat="false" ht="15" hidden="false" customHeight="false" outlineLevel="0" collapsed="false">
      <c r="A38" s="12" t="s">
        <v>764</v>
      </c>
      <c r="B38" s="12" t="s">
        <v>782</v>
      </c>
      <c r="C38" s="12" t="s">
        <v>766</v>
      </c>
      <c r="D38" s="12" t="s">
        <v>767</v>
      </c>
    </row>
    <row r="39" customFormat="false" ht="15" hidden="false" customHeight="false" outlineLevel="0" collapsed="false">
      <c r="A39" s="9" t="s">
        <v>764</v>
      </c>
      <c r="B39" s="9" t="s">
        <v>783</v>
      </c>
      <c r="C39" s="9" t="s">
        <v>766</v>
      </c>
      <c r="D39" s="9" t="s">
        <v>767</v>
      </c>
    </row>
    <row r="40" customFormat="false" ht="15" hidden="false" customHeight="false" outlineLevel="0" collapsed="false">
      <c r="A40" s="12" t="s">
        <v>764</v>
      </c>
      <c r="B40" s="12" t="s">
        <v>784</v>
      </c>
      <c r="C40" s="12" t="s">
        <v>766</v>
      </c>
      <c r="D40" s="12" t="s">
        <v>767</v>
      </c>
    </row>
    <row r="41" customFormat="false" ht="15" hidden="false" customHeight="false" outlineLevel="0" collapsed="false">
      <c r="A41" s="9" t="s">
        <v>764</v>
      </c>
      <c r="B41" s="9" t="s">
        <v>785</v>
      </c>
      <c r="C41" s="9" t="s">
        <v>766</v>
      </c>
      <c r="D41" s="9" t="s">
        <v>767</v>
      </c>
    </row>
    <row r="42" customFormat="false" ht="15" hidden="false" customHeight="false" outlineLevel="0" collapsed="false">
      <c r="A42" s="12" t="s">
        <v>764</v>
      </c>
      <c r="B42" s="12" t="s">
        <v>786</v>
      </c>
      <c r="C42" s="12" t="s">
        <v>766</v>
      </c>
      <c r="D42" s="12" t="s">
        <v>767</v>
      </c>
    </row>
    <row r="43" customFormat="false" ht="15" hidden="false" customHeight="false" outlineLevel="0" collapsed="false">
      <c r="A43" s="9" t="s">
        <v>764</v>
      </c>
      <c r="B43" s="9" t="s">
        <v>787</v>
      </c>
      <c r="C43" s="9" t="s">
        <v>766</v>
      </c>
      <c r="D43" s="9" t="s">
        <v>767</v>
      </c>
    </row>
    <row r="44" customFormat="false" ht="15" hidden="false" customHeight="false" outlineLevel="0" collapsed="false">
      <c r="A44" s="12" t="s">
        <v>764</v>
      </c>
      <c r="B44" s="12" t="s">
        <v>788</v>
      </c>
      <c r="C44" s="12" t="s">
        <v>766</v>
      </c>
      <c r="D44" s="12" t="s">
        <v>767</v>
      </c>
    </row>
    <row r="45" customFormat="false" ht="15" hidden="false" customHeight="false" outlineLevel="0" collapsed="false">
      <c r="A45" s="9" t="s">
        <v>764</v>
      </c>
      <c r="B45" s="9" t="s">
        <v>789</v>
      </c>
      <c r="C45" s="9" t="s">
        <v>766</v>
      </c>
      <c r="D45" s="9" t="s">
        <v>767</v>
      </c>
    </row>
    <row r="46" customFormat="false" ht="15" hidden="false" customHeight="false" outlineLevel="0" collapsed="false">
      <c r="A46" s="12" t="s">
        <v>764</v>
      </c>
      <c r="B46" s="12" t="s">
        <v>790</v>
      </c>
      <c r="C46" s="12" t="s">
        <v>766</v>
      </c>
      <c r="D46" s="12" t="s">
        <v>767</v>
      </c>
    </row>
    <row r="47" customFormat="false" ht="15" hidden="false" customHeight="false" outlineLevel="0" collapsed="false">
      <c r="A47" s="9" t="s">
        <v>764</v>
      </c>
      <c r="B47" s="9" t="s">
        <v>791</v>
      </c>
      <c r="C47" s="9" t="s">
        <v>766</v>
      </c>
      <c r="D47" s="9" t="s">
        <v>767</v>
      </c>
    </row>
    <row r="48" customFormat="false" ht="15" hidden="false" customHeight="false" outlineLevel="0" collapsed="false">
      <c r="A48" s="12" t="s">
        <v>764</v>
      </c>
      <c r="B48" s="12" t="s">
        <v>592</v>
      </c>
      <c r="C48" s="12" t="s">
        <v>766</v>
      </c>
      <c r="D48" s="12" t="s">
        <v>767</v>
      </c>
    </row>
    <row r="49" customFormat="false" ht="15" hidden="false" customHeight="false" outlineLevel="0" collapsed="false">
      <c r="A49" s="9" t="s">
        <v>764</v>
      </c>
      <c r="B49" s="9" t="s">
        <v>792</v>
      </c>
      <c r="C49" s="9" t="s">
        <v>766</v>
      </c>
      <c r="D49" s="9" t="s">
        <v>767</v>
      </c>
    </row>
    <row r="50" customFormat="false" ht="15" hidden="false" customHeight="false" outlineLevel="0" collapsed="false">
      <c r="A50" s="12" t="s">
        <v>793</v>
      </c>
      <c r="B50" s="12" t="s">
        <v>794</v>
      </c>
      <c r="C50" s="12" t="s">
        <v>795</v>
      </c>
      <c r="D50" s="18" t="s">
        <v>796</v>
      </c>
    </row>
    <row r="51" customFormat="false" ht="15" hidden="false" customHeight="false" outlineLevel="0" collapsed="false">
      <c r="A51" s="9" t="s">
        <v>793</v>
      </c>
      <c r="B51" s="9" t="s">
        <v>797</v>
      </c>
      <c r="C51" s="9" t="s">
        <v>798</v>
      </c>
      <c r="D51" s="18" t="s">
        <v>796</v>
      </c>
    </row>
    <row r="52" customFormat="false" ht="15" hidden="false" customHeight="false" outlineLevel="0" collapsed="false">
      <c r="A52" s="12" t="s">
        <v>793</v>
      </c>
      <c r="B52" s="12" t="s">
        <v>799</v>
      </c>
      <c r="C52" s="12" t="s">
        <v>800</v>
      </c>
      <c r="D52" s="18" t="s">
        <v>796</v>
      </c>
    </row>
    <row r="53" customFormat="false" ht="15" hidden="false" customHeight="false" outlineLevel="0" collapsed="false">
      <c r="A53" s="9" t="s">
        <v>793</v>
      </c>
      <c r="B53" s="9" t="s">
        <v>801</v>
      </c>
      <c r="C53" s="9" t="s">
        <v>802</v>
      </c>
      <c r="D53" s="18" t="s">
        <v>796</v>
      </c>
    </row>
    <row r="54" customFormat="false" ht="15" hidden="false" customHeight="false" outlineLevel="0" collapsed="false">
      <c r="A54" s="12" t="s">
        <v>803</v>
      </c>
      <c r="B54" s="12" t="s">
        <v>604</v>
      </c>
      <c r="C54" s="12" t="s">
        <v>804</v>
      </c>
      <c r="D54" s="12" t="s">
        <v>805</v>
      </c>
    </row>
    <row r="55" customFormat="false" ht="15" hidden="false" customHeight="false" outlineLevel="0" collapsed="false">
      <c r="A55" s="9" t="s">
        <v>803</v>
      </c>
      <c r="B55" s="9" t="s">
        <v>806</v>
      </c>
      <c r="C55" s="9" t="s">
        <v>807</v>
      </c>
      <c r="D55" s="9" t="s">
        <v>805</v>
      </c>
    </row>
  </sheetData>
  <autoFilter ref="A4:D5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2026-10-17T11:36:37Z</dcterms:created>
  <dc:creator>openpyxl</dc:creator>
  <dc:description/>
  <dc:language>en-US</dc:language>
  <cp:lastModifiedBy/>
  <dcterms:modified xsi:type="dcterms:W3CDTF">2026-10-17T11:36:37Z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